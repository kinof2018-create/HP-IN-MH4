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5840" tabRatio="764"/>
  </bookViews>
  <sheets>
    <sheet name="Cover" sheetId="23" r:id="rId1"/>
    <sheet name="KPI(성과지표)그래프" sheetId="21" r:id="rId2"/>
    <sheet name="탄소배출량 계산근거자료 23년" sheetId="20" r:id="rId3"/>
    <sheet name="탄소배출량 계산근거자료 2024년" sheetId="22" r:id="rId4"/>
    <sheet name="Information" sheetId="14" r:id="rId5"/>
    <sheet name="Summary" sheetId="17" r:id="rId6"/>
    <sheet name="Management" sheetId="1" r:id="rId7"/>
    <sheet name="Emissions" sheetId="8" r:id="rId8"/>
    <sheet name="Factory" sheetId="3" r:id="rId9"/>
    <sheet name="Product" sheetId="4" r:id="rId10"/>
    <sheet name="Hybrid" sheetId="15" r:id="rId11"/>
    <sheet name="Ref)EEIO" sheetId="6" state="hidden" r:id="rId12"/>
    <sheet name="Ref" sheetId="7"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 localSheetId="0">#REF!</definedName>
    <definedName name="_" localSheetId="1">#REF!</definedName>
    <definedName name="_" localSheetId="3">#REF!</definedName>
    <definedName name="_" localSheetId="2">#REF!</definedName>
    <definedName name="_">#REF!</definedName>
    <definedName name="_?쨲?f" localSheetId="3">#REF!</definedName>
    <definedName name="_?쨲?f" localSheetId="2">#REF!</definedName>
    <definedName name="_?쨲?f">#REF!</definedName>
    <definedName name="_1" localSheetId="3">#REF!</definedName>
    <definedName name="_1" localSheetId="2">#REF!</definedName>
    <definedName name="_1">#REF!</definedName>
    <definedName name="_1_0" localSheetId="3">[1]Sheet1!#REF!</definedName>
    <definedName name="_1_0" localSheetId="2">[1]Sheet1!#REF!</definedName>
    <definedName name="_1_0">[1]Sheet1!#REF!</definedName>
    <definedName name="_2" localSheetId="0">#REF!</definedName>
    <definedName name="_2" localSheetId="1">#REF!</definedName>
    <definedName name="_2" localSheetId="3">#REF!</definedName>
    <definedName name="_2" localSheetId="2">#REF!</definedName>
    <definedName name="_2">#REF!</definedName>
    <definedName name="_2_0" localSheetId="0">'[2]TNC(1안)'!#REF!</definedName>
    <definedName name="_2_0" localSheetId="1">'[2]TNC(1안)'!#REF!</definedName>
    <definedName name="_2_0" localSheetId="3">'[2]TNC(1안)'!#REF!</definedName>
    <definedName name="_2_0" localSheetId="2">'[2]TNC(1안)'!#REF!</definedName>
    <definedName name="_2_0">'[2]TNC(1안)'!#REF!</definedName>
    <definedName name="_3_0사업장" localSheetId="1">[1]Sheet1!#REF!</definedName>
    <definedName name="_3_0사업장" localSheetId="3">[1]Sheet1!#REF!</definedName>
    <definedName name="_3_0사업장" localSheetId="2">[1]Sheet1!#REF!</definedName>
    <definedName name="_3_0사업장">[1]Sheet1!#REF!</definedName>
    <definedName name="_4_0원가" localSheetId="3">[1]Sheet1!#REF!</definedName>
    <definedName name="_4_0원가" localSheetId="2">[1]Sheet1!#REF!</definedName>
    <definedName name="_4_0원가">[1]Sheet1!#REF!</definedName>
    <definedName name="_5a2_" localSheetId="0">#REF!</definedName>
    <definedName name="_5a2_" localSheetId="1">#REF!</definedName>
    <definedName name="_5a2_" localSheetId="3">#REF!</definedName>
    <definedName name="_5a2_" localSheetId="2">#REF!</definedName>
    <definedName name="_5a2_">#REF!</definedName>
    <definedName name="_9연봉입력" localSheetId="3">#REF!</definedName>
    <definedName name="_9연봉입력" localSheetId="2">#REF!</definedName>
    <definedName name="_9연봉입력">#REF!</definedName>
    <definedName name="_aof2" localSheetId="3">#REF!</definedName>
    <definedName name="_aof2" localSheetId="2">#REF!</definedName>
    <definedName name="_aof2">#REF!</definedName>
    <definedName name="_Fill" localSheetId="3" hidden="1">#REF!</definedName>
    <definedName name="_Fill" localSheetId="2" hidden="1">#REF!</definedName>
    <definedName name="_Fill" hidden="1">#REF!</definedName>
    <definedName name="_Key1" localSheetId="1" hidden="1">#REF!</definedName>
    <definedName name="_Key1" localSheetId="3" hidden="1">#REF!</definedName>
    <definedName name="_Key1" localSheetId="2" hidden="1">#REF!</definedName>
    <definedName name="_Key1" hidden="1">#REF!</definedName>
    <definedName name="_Order1" hidden="1">255</definedName>
    <definedName name="_PRT1" localSheetId="0">#REF!</definedName>
    <definedName name="_PRT1" localSheetId="1">#REF!</definedName>
    <definedName name="_PRT1" localSheetId="3">#REF!</definedName>
    <definedName name="_PRT1" localSheetId="2">#REF!</definedName>
    <definedName name="_PRT1">#REF!</definedName>
    <definedName name="_Sort" localSheetId="0" hidden="1">'[3]#REF'!#REF!</definedName>
    <definedName name="_Sort" localSheetId="3" hidden="1">'[3]#REF'!#REF!</definedName>
    <definedName name="_Sort" localSheetId="2" hidden="1">'[3]#REF'!#REF!</definedName>
    <definedName name="_Sort" hidden="1">'[3]#REF'!#REF!</definedName>
    <definedName name="´e±¸">[4]대구!$I$10:$K$48</definedName>
    <definedName name="¿e¿￢">[4]용연!$I$10:$K$48</definedName>
    <definedName name="¿i≫e">[4]울산!$I$10:$K$125</definedName>
    <definedName name="¿ø°¡" localSheetId="0">'[4]#REF'!#REF!</definedName>
    <definedName name="¿ø°¡" localSheetId="1">'[4]#REF'!#REF!</definedName>
    <definedName name="¿ø°¡" localSheetId="3">'[4]#REF'!#REF!</definedName>
    <definedName name="¿ø°¡" localSheetId="2">'[4]#REF'!#REF!</definedName>
    <definedName name="¿ø°¡">'[4]#REF'!#REF!</definedName>
    <definedName name="¿ø°¡Ay°¨" localSheetId="1">'[4]#REF'!#REF!</definedName>
    <definedName name="¿ø°¡Ay°¨" localSheetId="3">'[4]#REF'!#REF!</definedName>
    <definedName name="¿ø°¡Ay°¨" localSheetId="2">'[4]#REF'!#REF!</definedName>
    <definedName name="¿ø°¡Ay°¨">'[4]#REF'!#REF!</definedName>
    <definedName name="\a">'[5]#REF'!$B$47:$C$56</definedName>
    <definedName name="\s">#N/A</definedName>
    <definedName name="\t" localSheetId="0">#REF!</definedName>
    <definedName name="\t">#REF!</definedName>
    <definedName name="\x" localSheetId="0">#REF!</definedName>
    <definedName name="\x">#REF!</definedName>
    <definedName name="±¸¹I">[4]구미!$I$10:$K$48</definedName>
    <definedName name="±¤AO">[4]광주!$I$10:$K$48</definedName>
    <definedName name="≫c¾÷AaAN°y" localSheetId="0">'[4]#REF'!#REF!</definedName>
    <definedName name="≫c¾÷AaAN°y" localSheetId="1">'[4]#REF'!#REF!</definedName>
    <definedName name="≫c¾÷AaAN°y" localSheetId="3">'[4]#REF'!#REF!</definedName>
    <definedName name="≫c¾÷AaAN°y" localSheetId="2">'[4]#REF'!#REF!</definedName>
    <definedName name="≫c¾÷AaAN°y">'[4]#REF'!#REF!</definedName>
    <definedName name="¾ð¾c">[4]언양!$I$10:$K$86</definedName>
    <definedName name="¹æ≫c1" localSheetId="0">'[4]#REF'!#REF!</definedName>
    <definedName name="¹æ≫c1" localSheetId="1">'[4]#REF'!#REF!</definedName>
    <definedName name="¹æ≫c1" localSheetId="3">'[4]#REF'!#REF!</definedName>
    <definedName name="¹æ≫c1" localSheetId="2">'[4]#REF'!#REF!</definedName>
    <definedName name="¹æ≫c1">'[4]#REF'!#REF!</definedName>
    <definedName name="¹æ1ny≫y≫e·R" localSheetId="1">'[4]#REF'!#REF!</definedName>
    <definedName name="¹æ1ny≫y≫e·R" localSheetId="3">'[4]#REF'!#REF!</definedName>
    <definedName name="¹æ1ny≫y≫e·R" localSheetId="2">'[4]#REF'!#REF!</definedName>
    <definedName name="¹æ1ny≫y≫e·R">'[4]#REF'!#REF!</definedName>
    <definedName name="a" localSheetId="0">#REF!</definedName>
    <definedName name="a" localSheetId="1">#REF!</definedName>
    <definedName name="a" localSheetId="3">#REF!</definedName>
    <definedName name="a" localSheetId="2">#REF!</definedName>
    <definedName name="a">#REF!</definedName>
    <definedName name="aa" localSheetId="0">[6]Sheet1!#REF!</definedName>
    <definedName name="aa" localSheetId="1">[6]Sheet1!#REF!</definedName>
    <definedName name="aa" localSheetId="3">[6]Sheet1!#REF!</definedName>
    <definedName name="aa" localSheetId="2">[6]Sheet1!#REF!</definedName>
    <definedName name="aa">[6]Sheet1!#REF!</definedName>
    <definedName name="aaa" localSheetId="0" hidden="1">{#N/A,#N/A,FALSE,"100PPM";#N/A,#N/A,FALSE,"3차원대책서";#N/A,#N/A,FALSE,"개선사례"}</definedName>
    <definedName name="aaa" localSheetId="1" hidden="1">{#N/A,#N/A,FALSE,"100PPM";#N/A,#N/A,FALSE,"3차원대책서";#N/A,#N/A,FALSE,"개선사례"}</definedName>
    <definedName name="aaa" hidden="1">{#N/A,#N/A,FALSE,"100PPM";#N/A,#N/A,FALSE,"3차원대책서";#N/A,#N/A,FALSE,"개선사례"}</definedName>
    <definedName name="ab" localSheetId="0">#REF!</definedName>
    <definedName name="ab" localSheetId="1">#REF!</definedName>
    <definedName name="ab" localSheetId="3">#REF!</definedName>
    <definedName name="ab" localSheetId="2">#REF!</definedName>
    <definedName name="ab">#REF!</definedName>
    <definedName name="ac">[7]진천!$I$10:$K$42</definedName>
    <definedName name="ACCESS중급" localSheetId="0">#REF!</definedName>
    <definedName name="ACCESS중급" localSheetId="1">#REF!</definedName>
    <definedName name="ACCESS중급" localSheetId="3">#REF!</definedName>
    <definedName name="ACCESS중급" localSheetId="2">#REF!</definedName>
    <definedName name="ACCESS중급">#REF!</definedName>
    <definedName name="ACCESS초급" localSheetId="3">#REF!</definedName>
    <definedName name="ACCESS초급" localSheetId="2">#REF!</definedName>
    <definedName name="ACCESS초급">#REF!</definedName>
    <definedName name="ad">[7]진천!$I$10:$K$52</definedName>
    <definedName name="ae">[8]용연!$I$10:$K$49</definedName>
    <definedName name="af">[9]중연!$I$10:$K$48</definedName>
    <definedName name="ag">[8]용연!$I$10:$K$48</definedName>
    <definedName name="ah">[8]용연!$I$10:$K$48</definedName>
    <definedName name="ai">[10]광주!$I$10:$K$49</definedName>
    <definedName name="aj">[8]용연!$I$10:$K$48</definedName>
    <definedName name="ak">[11]울산!$I$10:$K$122</definedName>
    <definedName name="al" localSheetId="0">#REF!</definedName>
    <definedName name="al" localSheetId="1">#REF!</definedName>
    <definedName name="al" localSheetId="3">#REF!</definedName>
    <definedName name="al" localSheetId="2">#REF!</definedName>
    <definedName name="al">#REF!</definedName>
    <definedName name="Alcoholic_beverages">'Ref)EEIO'!$B$28:$B$30</definedName>
    <definedName name="am" localSheetId="0">#REF!</definedName>
    <definedName name="am" localSheetId="3">#REF!</definedName>
    <definedName name="am" localSheetId="2">#REF!</definedName>
    <definedName name="am">#REF!</definedName>
    <definedName name="an">[8]용연!$I$10:$K$48</definedName>
    <definedName name="Animal_food_mfg">'Ref)EEIO'!$B$31:$B$32</definedName>
    <definedName name="Animal_slaughtering_proc">'Ref)EEIO'!$B$33:$B$34</definedName>
    <definedName name="ao" localSheetId="0">#REF!</definedName>
    <definedName name="ao" localSheetId="1">#REF!</definedName>
    <definedName name="ao" localSheetId="3">#REF!</definedName>
    <definedName name="ao" localSheetId="2">#REF!</definedName>
    <definedName name="ao">#REF!</definedName>
    <definedName name="AøAμ">[4]진천!$I$10:$K$42</definedName>
    <definedName name="aplan" localSheetId="0">#REF!</definedName>
    <definedName name="aplan" localSheetId="1">#REF!</definedName>
    <definedName name="aplan" localSheetId="3">#REF!</definedName>
    <definedName name="aplan" localSheetId="2">#REF!</definedName>
    <definedName name="aplan">#REF!</definedName>
    <definedName name="ASDEL" localSheetId="0">'[12]납품-환입'!#REF!</definedName>
    <definedName name="ASDEL" localSheetId="1">'[12]납품-환입'!#REF!</definedName>
    <definedName name="ASDEL" localSheetId="3">'[12]납품-환입'!#REF!</definedName>
    <definedName name="ASDEL" localSheetId="2">'[12]납품-환입'!#REF!</definedName>
    <definedName name="ASDEL">'[12]납품-환입'!#REF!</definedName>
    <definedName name="Aß¿￢">[4]중연!$I$10:$K$48</definedName>
    <definedName name="ASTATUS">[13]근태현황!$C$4:$AH$16</definedName>
    <definedName name="at">[14]Macro!$F$1</definedName>
    <definedName name="aw">[15]손익총괄!$A$99</definedName>
    <definedName name="ax" localSheetId="0">#REF!</definedName>
    <definedName name="ax" localSheetId="1">#REF!</definedName>
    <definedName name="ax" localSheetId="3">#REF!</definedName>
    <definedName name="ax" localSheetId="2">#REF!</definedName>
    <definedName name="ax">#REF!</definedName>
    <definedName name="ay" localSheetId="3">#REF!</definedName>
    <definedName name="ay" localSheetId="2">#REF!</definedName>
    <definedName name="ay">#REF!</definedName>
    <definedName name="az">[11]울산!$I$10:$K$125</definedName>
    <definedName name="B" localSheetId="0">[3]경쟁실분!#REF!</definedName>
    <definedName name="B" localSheetId="1">[3]경쟁실분!#REF!</definedName>
    <definedName name="B" localSheetId="3">[3]경쟁실분!#REF!</definedName>
    <definedName name="B" localSheetId="2">[3]경쟁실분!#REF!</definedName>
    <definedName name="B">[3]경쟁실분!#REF!</definedName>
    <definedName name="ba">[16]언양!$I$10:$K$86</definedName>
    <definedName name="baa" localSheetId="0">#REF!</definedName>
    <definedName name="baa">#REF!</definedName>
    <definedName name="Bakeries_tortilla_mfg">'Ref)EEIO'!$B$35:$B$36</definedName>
    <definedName name="bb">#N/A</definedName>
    <definedName name="BBA" localSheetId="0">#REF!</definedName>
    <definedName name="BBA">#REF!</definedName>
    <definedName name="BBB" localSheetId="1">#REF!</definedName>
    <definedName name="BBB" localSheetId="3">#REF!</definedName>
    <definedName name="BBB" localSheetId="2">#REF!</definedName>
    <definedName name="BBB">#REF!</definedName>
    <definedName name="bc" localSheetId="3">#REF!</definedName>
    <definedName name="bc" localSheetId="2">#REF!</definedName>
    <definedName name="bc">#REF!</definedName>
    <definedName name="bd" localSheetId="3">#REF!</definedName>
    <definedName name="bd" localSheetId="2">#REF!</definedName>
    <definedName name="bd">#REF!</definedName>
    <definedName name="be">[17]대구!$I$10:$K$45</definedName>
    <definedName name="bf" localSheetId="0">#REF!</definedName>
    <definedName name="bf" localSheetId="1">#REF!</definedName>
    <definedName name="bf" localSheetId="3">#REF!</definedName>
    <definedName name="bf" localSheetId="2">#REF!</definedName>
    <definedName name="bf">#REF!</definedName>
    <definedName name="bg">[8]용연!$I$10:$K$48</definedName>
    <definedName name="bh">[8]용연!$I$10:$K$48</definedName>
    <definedName name="bplan" localSheetId="0">#REF!</definedName>
    <definedName name="bplan" localSheetId="1">#REF!</definedName>
    <definedName name="bplan" localSheetId="3">#REF!</definedName>
    <definedName name="bplan" localSheetId="2">#REF!</definedName>
    <definedName name="bplan">#REF!</definedName>
    <definedName name="BSTATUS">[13]근태현황!$C$17:$AH$29</definedName>
    <definedName name="CAR" localSheetId="0">#REF!</definedName>
    <definedName name="CAR" localSheetId="1">#REF!</definedName>
    <definedName name="CAR" localSheetId="3">#REF!</definedName>
    <definedName name="CAR" localSheetId="2">#REF!</definedName>
    <definedName name="CAR">#REF!</definedName>
    <definedName name="CARTO" localSheetId="3">#REF!</definedName>
    <definedName name="CARTO" localSheetId="2">#REF!</definedName>
    <definedName name="CARTO">#REF!</definedName>
    <definedName name="cc">[10]광주!$I$10:$K$48</definedName>
    <definedName name="Certi" localSheetId="0">[56]Selection!$B$591:$B$593</definedName>
    <definedName name="Certi" localSheetId="4">[18]Selection!$B$591:$B$593</definedName>
    <definedName name="Certi" localSheetId="5">[18]Selection!$B$591:$B$593</definedName>
    <definedName name="Certi">[19]Selection!$B$591:$B$593</definedName>
    <definedName name="Chemical_prods">'Ref)EEIO'!$B$56:$B$74</definedName>
    <definedName name="CNPOR1C1R55C11RTRTCNR1C12R55C26" localSheetId="0">#REF!</definedName>
    <definedName name="CNPOR1C1R55C11RTRTCNR1C12R55C26" localSheetId="1">#REF!</definedName>
    <definedName name="CNPOR1C1R55C11RTRTCNR1C12R55C26" localSheetId="3">#REF!</definedName>
    <definedName name="CNPOR1C1R55C11RTRTCNR1C12R55C26" localSheetId="2">#REF!</definedName>
    <definedName name="CNPOR1C1R55C11RTRTCNR1C12R55C26">#REF!</definedName>
    <definedName name="CNPOR240C1R291C11RTRTCNPOR240C1" localSheetId="3">#REF!</definedName>
    <definedName name="CNPOR240C1R291C11RTRTCNPOR240C1" localSheetId="2">#REF!</definedName>
    <definedName name="CNPOR240C1R291C11RTRTCNPOR240C1">#REF!</definedName>
    <definedName name="CNPOR242C1R297C11RTRTCNPOR242C1" localSheetId="3">#REF!</definedName>
    <definedName name="CNPOR242C1R297C11RTRTCNPOR242C1" localSheetId="2">#REF!</definedName>
    <definedName name="CNPOR242C1R297C11RTRTCNPOR242C1">#REF!</definedName>
    <definedName name="CNPOR262C1R325C11RTRTCNPOR262C1" localSheetId="3">#REF!</definedName>
    <definedName name="CNPOR262C1R325C11RTRTCNPOR262C1" localSheetId="2">#REF!</definedName>
    <definedName name="CNPOR262C1R325C11RTRTCNPOR262C1">#REF!</definedName>
    <definedName name="CNPOR265C1R329C11RTRTCNPOR265C1" localSheetId="3">#REF!</definedName>
    <definedName name="CNPOR265C1R329C11RTRTCNPOR265C1" localSheetId="2">#REF!</definedName>
    <definedName name="CNPOR265C1R329C11RTRTCNPOR265C1">#REF!</definedName>
    <definedName name="CNPOR275C1R339C11RTRTCNPOR275C1" localSheetId="3">#REF!</definedName>
    <definedName name="CNPOR275C1R339C11RTRTCNPOR275C1" localSheetId="2">#REF!</definedName>
    <definedName name="CNPOR275C1R339C11RTRTCNPOR275C1">#REF!</definedName>
    <definedName name="CNPOR2C1R53C43RTRTCNTCRTCNTRTCJ" localSheetId="3">#REF!</definedName>
    <definedName name="CNPOR2C1R53C43RTRTCNTCRTCNTRTCJ" localSheetId="2">#REF!</definedName>
    <definedName name="CNPOR2C1R53C43RTRTCNTCRTCNTRTCJ">#REF!</definedName>
    <definedName name="CNPOR2C1R59C11RTRTCNPOR2C12R59C" localSheetId="3">#REF!</definedName>
    <definedName name="CNPOR2C1R59C11RTRTCNPOR2C12R59C" localSheetId="2">#REF!</definedName>
    <definedName name="CNPOR2C1R59C11RTRTCNPOR2C12R59C">#REF!</definedName>
    <definedName name="CNPSKS12C7LRTM0RTOR178C1R253C11" localSheetId="3">#REF!</definedName>
    <definedName name="CNPSKS12C7LRTM0RTOR178C1R253C11" localSheetId="2">#REF!</definedName>
    <definedName name="CNPSKS12C7LRTM0RTOR178C1R253C11">#REF!</definedName>
    <definedName name="Computer_and_electronic_product_mfg">'Ref)EEIO'!$B$75:$B$94</definedName>
    <definedName name="Construction">'Ref)EEIO'!$B$15:$B$26</definedName>
    <definedName name="_xlnm.Criteria" localSheetId="0">[20]비용!#REF!</definedName>
    <definedName name="_xlnm.Criteria" localSheetId="3">[20]비용!#REF!</definedName>
    <definedName name="_xlnm.Criteria" localSheetId="2">[20]비용!#REF!</definedName>
    <definedName name="_xlnm.Criteria">[20]비용!#REF!</definedName>
    <definedName name="d" localSheetId="3">[21]연령현황!#REF!</definedName>
    <definedName name="d" localSheetId="2">[21]연령현황!#REF!</definedName>
    <definedName name="d">[21]연령현황!#REF!</definedName>
    <definedName name="DAEGU">[17]대구!$I$10:$K$14</definedName>
    <definedName name="Dairy_prods">'Ref)EEIO'!$B$37:$B$40</definedName>
    <definedName name="data2" localSheetId="0">#REF!</definedName>
    <definedName name="data2" localSheetId="1">#REF!</definedName>
    <definedName name="data2" localSheetId="3">#REF!</definedName>
    <definedName name="data2" localSheetId="2">#REF!</definedName>
    <definedName name="data2">#REF!</definedName>
    <definedName name="_xlnm.Database" localSheetId="3">#REF!</definedName>
    <definedName name="_xlnm.Database" localSheetId="2">#REF!</definedName>
    <definedName name="_xlnm.Database">#REF!</definedName>
    <definedName name="DAY" localSheetId="3">#REF!</definedName>
    <definedName name="DAY" localSheetId="2">#REF!</definedName>
    <definedName name="DAY">#REF!</definedName>
    <definedName name="dd">[17]대구!$I$10:$K$48</definedName>
    <definedName name="DF">[22]대구!$I$10:$K$48</definedName>
    <definedName name="DKDKFG8TBTB2RT" localSheetId="0">[3]첨부2!#REF!</definedName>
    <definedName name="DKDKFG8TBTB2RT" localSheetId="1">[3]첨부2!#REF!</definedName>
    <definedName name="DKDKFG8TBTB2RT" localSheetId="3">[3]첨부2!#REF!</definedName>
    <definedName name="DKDKFG8TBTB2RT" localSheetId="2">[3]첨부2!#REF!</definedName>
    <definedName name="DKDKFG8TBTB2RT">[3]첨부2!#REF!</definedName>
    <definedName name="e" localSheetId="0">#REF!</definedName>
    <definedName name="e" localSheetId="1">#REF!</definedName>
    <definedName name="e" localSheetId="3">#REF!</definedName>
    <definedName name="e" localSheetId="2">#REF!</definedName>
    <definedName name="e">#REF!</definedName>
    <definedName name="ee" localSheetId="0">[6]Sheet1!#REF!</definedName>
    <definedName name="ee" localSheetId="1">[6]Sheet1!#REF!</definedName>
    <definedName name="ee" localSheetId="3">[6]Sheet1!#REF!</definedName>
    <definedName name="ee" localSheetId="2">[6]Sheet1!#REF!</definedName>
    <definedName name="ee">[6]Sheet1!#REF!</definedName>
    <definedName name="Electrical_equipment_appliance_and_component_mfg">'Ref)EEIO'!$B$95:$B$111</definedName>
    <definedName name="Electricity">'Ref)EEIO'!$B$27</definedName>
    <definedName name="ENP" localSheetId="0">#REF!</definedName>
    <definedName name="ENP" localSheetId="1">#REF!</definedName>
    <definedName name="ENP" localSheetId="3">#REF!</definedName>
    <definedName name="ENP" localSheetId="2">#REF!</definedName>
    <definedName name="ENP">#REF!</definedName>
    <definedName name="EXCEL고급" localSheetId="3">#REF!</definedName>
    <definedName name="EXCEL고급" localSheetId="2">#REF!</definedName>
    <definedName name="EXCEL고급">#REF!</definedName>
    <definedName name="EXCEL중급" localSheetId="3">#REF!</definedName>
    <definedName name="EXCEL중급" localSheetId="2">#REF!</definedName>
    <definedName name="EXCEL중급">#REF!</definedName>
    <definedName name="f" localSheetId="3">#REF!</definedName>
    <definedName name="f" localSheetId="2">#REF!</definedName>
    <definedName name="f">#REF!</definedName>
    <definedName name="Fabricated_metal_product_mfg">'Ref)EEIO'!$B$112:$B$131</definedName>
    <definedName name="Farms">'Ref)EEIO'!$B$4:$B$14</definedName>
    <definedName name="FCTBTB0RTCFTBRKRKRKRKRKRKRKRKRK" localSheetId="0">#REF!</definedName>
    <definedName name="FCTBTB0RTCFTBRKRKRKRKRKRKRKRKRK" localSheetId="3">#REF!</definedName>
    <definedName name="FCTBTB0RTCFTBRKRKRKRKRKRKRKRKRK" localSheetId="2">#REF!</definedName>
    <definedName name="FCTBTB0RTCFTBRKRKRKRKRKRKRKRKRK">#REF!</definedName>
    <definedName name="ff" localSheetId="3">#REF!</definedName>
    <definedName name="ff" localSheetId="2">#REF!</definedName>
    <definedName name="ff">#REF!</definedName>
    <definedName name="FGRKBS11TBTB3RTDKDK" localSheetId="3">[3]협조전!#REF!</definedName>
    <definedName name="FGRKBS11TBTB3RTDKDK" localSheetId="2">[3]협조전!#REF!</definedName>
    <definedName name="FGRKBS11TBTB3RTDKDK">[3]협조전!#REF!</definedName>
    <definedName name="fgRKBS8TBTB3RT" localSheetId="3">[3]협조전!#REF!</definedName>
    <definedName name="fgRKBS8TBTB3RT" localSheetId="2">[3]협조전!#REF!</definedName>
    <definedName name="fgRKBS8TBTB3RT">[3]협조전!#REF!</definedName>
    <definedName name="FOAMBUL" localSheetId="3">[12]FOAMscrap!#REF!</definedName>
    <definedName name="FOAMBUL" localSheetId="2">[12]FOAMscrap!#REF!</definedName>
    <definedName name="FOAMBUL">[12]FOAMscrap!#REF!</definedName>
    <definedName name="Fruit_Vegetable_preserving">'Ref)EEIO'!$B$41:$B$42</definedName>
    <definedName name="Furniture_related_prods">'Ref)EEIO'!$B$132:$B$139</definedName>
    <definedName name="g" localSheetId="0">#REF!</definedName>
    <definedName name="g" localSheetId="1">#REF!</definedName>
    <definedName name="g" localSheetId="3">#REF!</definedName>
    <definedName name="g" localSheetId="2">#REF!</definedName>
    <definedName name="g">#REF!</definedName>
    <definedName name="gg">[16]언양!$I$10:$K$86</definedName>
    <definedName name="Grain_oilseed_milling">'Ref)EEIO'!$B$43:$B$47</definedName>
    <definedName name="GUMI">[23]구미!$I$10:$K$48</definedName>
    <definedName name="gumi02.k">[23]구미!$R$10:$T$48</definedName>
    <definedName name="h" localSheetId="0">#REF!</definedName>
    <definedName name="h" localSheetId="1">#REF!</definedName>
    <definedName name="h" localSheetId="3">#REF!</definedName>
    <definedName name="h" localSheetId="2">#REF!</definedName>
    <definedName name="h">#REF!</definedName>
    <definedName name="HEC" localSheetId="3">#REF!</definedName>
    <definedName name="HEC" localSheetId="2">#REF!</definedName>
    <definedName name="HEC">#REF!</definedName>
    <definedName name="hh">[8]용연!$I$10:$K$48</definedName>
    <definedName name="HWP" localSheetId="0">#REF!</definedName>
    <definedName name="HWP" localSheetId="1">#REF!</definedName>
    <definedName name="HWP" localSheetId="3">#REF!</definedName>
    <definedName name="HWP" localSheetId="2">#REF!</definedName>
    <definedName name="HWP">#REF!</definedName>
    <definedName name="i" localSheetId="3">#REF!</definedName>
    <definedName name="i" localSheetId="2">#REF!</definedName>
    <definedName name="i">#REF!</definedName>
    <definedName name="ii">[11]울산!$I$10:$K$125</definedName>
    <definedName name="Initiative" localSheetId="0">[56]Selection!$B$569:$B$582</definedName>
    <definedName name="Initiative" localSheetId="4">[18]Selection!$B$569:$B$582</definedName>
    <definedName name="Initiative" localSheetId="5">[18]Selection!$B$569:$B$582</definedName>
    <definedName name="Initiative">[19]Selection!$B$569:$B$582</definedName>
    <definedName name="INSPSUM" localSheetId="0">#REF!</definedName>
    <definedName name="INSPSUM" localSheetId="1">#REF!</definedName>
    <definedName name="INSPSUM" localSheetId="3">#REF!</definedName>
    <definedName name="INSPSUM" localSheetId="2">#REF!</definedName>
    <definedName name="INSPSUM">#REF!</definedName>
    <definedName name="INTERNET중급" localSheetId="1">#REF!</definedName>
    <definedName name="INTERNET중급" localSheetId="3">#REF!</definedName>
    <definedName name="INTERNET중급" localSheetId="2">#REF!</definedName>
    <definedName name="INTERNET중급">#REF!</definedName>
    <definedName name="INTERNET초급" localSheetId="3">#REF!</definedName>
    <definedName name="INTERNET초급" localSheetId="2">#REF!</definedName>
    <definedName name="INTERNET초급">#REF!</definedName>
    <definedName name="INVENTORY" localSheetId="3">'[12]납품-환입'!#REF!</definedName>
    <definedName name="INVENTORY" localSheetId="2">'[12]납품-환입'!#REF!</definedName>
    <definedName name="INVENTORY">'[12]납품-환입'!#REF!</definedName>
    <definedName name="item01" localSheetId="0">#REF!</definedName>
    <definedName name="item01" localSheetId="1">#REF!</definedName>
    <definedName name="item01" localSheetId="3">#REF!</definedName>
    <definedName name="item01" localSheetId="2">#REF!</definedName>
    <definedName name="item01">#REF!</definedName>
    <definedName name="item02" localSheetId="3">#REF!</definedName>
    <definedName name="item02" localSheetId="2">#REF!</definedName>
    <definedName name="item02">#REF!</definedName>
    <definedName name="item03" localSheetId="3">#REF!</definedName>
    <definedName name="item03" localSheetId="2">#REF!</definedName>
    <definedName name="item03">#REF!</definedName>
    <definedName name="item04" localSheetId="3">#REF!</definedName>
    <definedName name="item04" localSheetId="2">#REF!</definedName>
    <definedName name="item04">#REF!</definedName>
    <definedName name="item05" localSheetId="3">#REF!</definedName>
    <definedName name="item05" localSheetId="2">#REF!</definedName>
    <definedName name="item05">#REF!</definedName>
    <definedName name="j" localSheetId="3">#REF!</definedName>
    <definedName name="j" localSheetId="2">#REF!</definedName>
    <definedName name="j">#REF!</definedName>
    <definedName name="JINCHO05">[7]진천!$I$10:$K$42</definedName>
    <definedName name="JINCHON">[7]진천!$I$10:$K$52</definedName>
    <definedName name="jj" localSheetId="0">#REF!</definedName>
    <definedName name="jj" localSheetId="1">#REF!</definedName>
    <definedName name="jj" localSheetId="3">#REF!</definedName>
    <definedName name="jj" localSheetId="2">#REF!</definedName>
    <definedName name="jj">#REF!</definedName>
    <definedName name="jjj">[8]용연!$I$10:$K$49</definedName>
    <definedName name="jungyon">[9]중연!$I$10:$K$48</definedName>
    <definedName name="K">[8]용연!$I$10:$K$48</definedName>
    <definedName name="kk" localSheetId="0">[6]Sheet1!#REF!</definedName>
    <definedName name="kk" localSheetId="1">[6]Sheet1!#REF!</definedName>
    <definedName name="kk" localSheetId="3">[6]Sheet1!#REF!</definedName>
    <definedName name="kk" localSheetId="2">[6]Sheet1!#REF!</definedName>
    <definedName name="kk">[6]Sheet1!#REF!</definedName>
    <definedName name="kkk" localSheetId="0">#REF!</definedName>
    <definedName name="kkk" localSheetId="1">#REF!</definedName>
    <definedName name="kkk" localSheetId="3">#REF!</definedName>
    <definedName name="kkk" localSheetId="2">#REF!</definedName>
    <definedName name="kkk">#REF!</definedName>
    <definedName name="KSVT" localSheetId="3">#REF!</definedName>
    <definedName name="KSVT" localSheetId="2">#REF!</definedName>
    <definedName name="KSVT">#REF!</definedName>
    <definedName name="kwangju">[10]광주!$I$10:$K$49</definedName>
    <definedName name="L" localSheetId="0" hidden="1">{#N/A,#N/A,FALSE,"100PPM";#N/A,#N/A,FALSE,"3차원대책서";#N/A,#N/A,FALSE,"개선사례"}</definedName>
    <definedName name="L" localSheetId="1" hidden="1">{#N/A,#N/A,FALSE,"100PPM";#N/A,#N/A,FALSE,"3차원대책서";#N/A,#N/A,FALSE,"개선사례"}</definedName>
    <definedName name="L" hidden="1">{#N/A,#N/A,FALSE,"100PPM";#N/A,#N/A,FALSE,"3차원대책서";#N/A,#N/A,FALSE,"개선사례"}</definedName>
    <definedName name="LCA_scope" localSheetId="0">[56]Selection!$B$588:$B$590</definedName>
    <definedName name="LCA_scope" localSheetId="4">[18]Selection!$B$588:$B$590</definedName>
    <definedName name="LCA_scope" localSheetId="5">[18]Selection!$B$588:$B$590</definedName>
    <definedName name="LCA_scope">[19]Selection!$B$588:$B$590</definedName>
    <definedName name="LIM" localSheetId="0">#REF!</definedName>
    <definedName name="LIM" localSheetId="1">#REF!</definedName>
    <definedName name="LIM" localSheetId="3">#REF!</definedName>
    <definedName name="LIM" localSheetId="2">#REF!</definedName>
    <definedName name="LIM">#REF!</definedName>
    <definedName name="ll" localSheetId="3">#REF!</definedName>
    <definedName name="ll" localSheetId="2">#REF!</definedName>
    <definedName name="ll">#REF!</definedName>
    <definedName name="LLL">[11]울산!$I$10:$K$122</definedName>
    <definedName name="M" localSheetId="0">[2]일급제인원실적!#REF!</definedName>
    <definedName name="M" localSheetId="1">[2]일급제인원실적!#REF!</definedName>
    <definedName name="M" localSheetId="3">[2]일급제인원실적!#REF!</definedName>
    <definedName name="M" localSheetId="2">[2]일급제인원실적!#REF!</definedName>
    <definedName name="M">[2]일급제인원실적!#REF!</definedName>
    <definedName name="MAT" localSheetId="0">#REF!</definedName>
    <definedName name="MAT" localSheetId="1">#REF!</definedName>
    <definedName name="MAT" localSheetId="3">#REF!</definedName>
    <definedName name="MAT" localSheetId="2">#REF!</definedName>
    <definedName name="MAT">#REF!</definedName>
    <definedName name="MATER" localSheetId="1">#REF!</definedName>
    <definedName name="MATER" localSheetId="3">#REF!</definedName>
    <definedName name="MATER" localSheetId="2">#REF!</definedName>
    <definedName name="MATER">#REF!</definedName>
    <definedName name="MATER최종" localSheetId="3">#REF!</definedName>
    <definedName name="MATER최종" localSheetId="2">#REF!</definedName>
    <definedName name="MATER최종">#REF!</definedName>
    <definedName name="MATER폐기" localSheetId="3">#REF!</definedName>
    <definedName name="MATER폐기" localSheetId="2">#REF!</definedName>
    <definedName name="MATER폐기">#REF!</definedName>
    <definedName name="Mining_exc_oil_gas">'Ref)EEIO'!$B$265:$B$270</definedName>
    <definedName name="Miscellaneous_mfg">'Ref)EEIO'!$B$170:$B$180</definedName>
    <definedName name="mm">[9]중연!$I$10:$K$48</definedName>
    <definedName name="Motor_vehicles_bodies_trailers_parts">'Ref)EEIO'!$B$181:$B$194</definedName>
    <definedName name="MSWORD" localSheetId="0">#REF!</definedName>
    <definedName name="MSWORD" localSheetId="1">#REF!</definedName>
    <definedName name="MSWORD" localSheetId="3">#REF!</definedName>
    <definedName name="MSWORD" localSheetId="2">#REF!</definedName>
    <definedName name="MSWORD">#REF!</definedName>
    <definedName name="nn">[7]진천!$I$10:$K$42</definedName>
    <definedName name="Nonmetallic_mineral_prods">'Ref)EEIO'!$B$195:$B$206</definedName>
    <definedName name="O" localSheetId="0">#REF!</definedName>
    <definedName name="O" localSheetId="1">#REF!</definedName>
    <definedName name="O" localSheetId="3">#REF!</definedName>
    <definedName name="O" localSheetId="2">#REF!</definedName>
    <definedName name="O">#REF!</definedName>
    <definedName name="Oil_gas_extraction">'Ref)EEIO'!$B$271:$B$272</definedName>
    <definedName name="oo" localSheetId="0">#REF!</definedName>
    <definedName name="oo" localSheetId="3">#REF!</definedName>
    <definedName name="oo" localSheetId="2">#REF!</definedName>
    <definedName name="oo">#REF!</definedName>
    <definedName name="ORDERACCUM" localSheetId="0">'[12]납품-환입'!#REF!</definedName>
    <definedName name="ORDERACCUM" localSheetId="3">'[12]납품-환입'!#REF!</definedName>
    <definedName name="ORDERACCUM" localSheetId="2">'[12]납품-환입'!#REF!</definedName>
    <definedName name="ORDERACCUM">'[12]납품-환입'!#REF!</definedName>
    <definedName name="OT" localSheetId="3">[2]고합!#REF!</definedName>
    <definedName name="OT" localSheetId="2">[2]고합!#REF!</definedName>
    <definedName name="OT">[2]고합!#REF!</definedName>
    <definedName name="Other_food_mfg">'Ref)EEIO'!$B$48:$B$52</definedName>
    <definedName name="Other_petroleum_coal_prods">'Ref)EEIO'!$B$207:$B$209</definedName>
    <definedName name="Other_transport_equip">'Ref)EEIO'!$B$210:$B$220</definedName>
    <definedName name="OTHERDEL" localSheetId="0">'[12]납품-환입'!#REF!</definedName>
    <definedName name="OTHERDEL" localSheetId="3">'[12]납품-환입'!#REF!</definedName>
    <definedName name="OTHERDEL" localSheetId="2">'[12]납품-환입'!#REF!</definedName>
    <definedName name="OTHERDEL">'[12]납품-환입'!#REF!</definedName>
    <definedName name="P" localSheetId="3">[2]월급제인원실적!#REF!</definedName>
    <definedName name="P" localSheetId="2">[2]월급제인원실적!#REF!</definedName>
    <definedName name="P">[2]월급제인원실적!#REF!</definedName>
    <definedName name="Paper_products">'Ref)EEIO'!$B$221:$B$228</definedName>
    <definedName name="plant" localSheetId="0">[56]C1b!$C$7:$C$36</definedName>
    <definedName name="plant" localSheetId="4">[18]C1b!$C$7:$C$36</definedName>
    <definedName name="plant" localSheetId="5">[18]C1b!$C$7:$C$36</definedName>
    <definedName name="plant">[19]C1b!$C$7:$C$36</definedName>
    <definedName name="Plastics_rubber_prods">'Ref)EEIO'!$B$230:$B$239</definedName>
    <definedName name="PL법" localSheetId="0">#REF!</definedName>
    <definedName name="PL법" localSheetId="1">#REF!</definedName>
    <definedName name="PL법" localSheetId="3">#REF!</definedName>
    <definedName name="PL법" localSheetId="2">#REF!</definedName>
    <definedName name="PL법">#REF!</definedName>
    <definedName name="PNO" localSheetId="1">#REF!</definedName>
    <definedName name="PNO" localSheetId="3">#REF!</definedName>
    <definedName name="PNO" localSheetId="2">#REF!</definedName>
    <definedName name="PNO">#REF!</definedName>
    <definedName name="POWERPOINT" localSheetId="3">#REF!</definedName>
    <definedName name="POWERPOINT" localSheetId="2">#REF!</definedName>
    <definedName name="POWERPOINT">#REF!</definedName>
    <definedName name="PP" localSheetId="3">#REF!</definedName>
    <definedName name="PP" localSheetId="2">#REF!</definedName>
    <definedName name="PP">#REF!</definedName>
    <definedName name="PPP" localSheetId="3">[24]본사인상전!#REF!</definedName>
    <definedName name="PPP" localSheetId="2">[24]본사인상전!#REF!</definedName>
    <definedName name="PPP">[24]본사인상전!#REF!</definedName>
    <definedName name="pri" localSheetId="0">#REF!</definedName>
    <definedName name="pri" localSheetId="1">#REF!</definedName>
    <definedName name="pri" localSheetId="3">#REF!</definedName>
    <definedName name="pri" localSheetId="2">#REF!</definedName>
    <definedName name="pri">#REF!</definedName>
    <definedName name="Primary_metals">'Ref)EEIO'!$B$240:$B$249</definedName>
    <definedName name="_xlnm.Print_Area" localSheetId="0">#REF!</definedName>
    <definedName name="_xlnm.Print_Area" localSheetId="1">'KPI(성과지표)그래프'!$A$1:$X$48</definedName>
    <definedName name="_xlnm.Print_Area">#REF!</definedName>
    <definedName name="PRINT_AREA_MI" localSheetId="1">#REF!</definedName>
    <definedName name="PRINT_AREA_MI" localSheetId="3">#REF!</definedName>
    <definedName name="PRINT_AREA_MI" localSheetId="2">#REF!</definedName>
    <definedName name="PRINT_AREA_MI">#REF!</definedName>
    <definedName name="PRINT_AREA_MI1" localSheetId="3">#REF!</definedName>
    <definedName name="PRINT_AREA_MI1" localSheetId="2">#REF!</definedName>
    <definedName name="PRINT_AREA_MI1">#REF!</definedName>
    <definedName name="_xlnm.Print_Titles">#REF!</definedName>
    <definedName name="Print_Titles_MI" localSheetId="3">#REF!</definedName>
    <definedName name="Print_Titles_MI" localSheetId="2">#REF!</definedName>
    <definedName name="Print_Titles_MI">#REF!</definedName>
    <definedName name="PRINT_TITLES_MI1" localSheetId="3">#REF!</definedName>
    <definedName name="PRINT_TITLES_MI1" localSheetId="2">#REF!</definedName>
    <definedName name="PRINT_TITLES_MI1">#REF!</definedName>
    <definedName name="PRINT5">[25]Macro!$F$1</definedName>
    <definedName name="Printing_related_support_activities">'Ref)EEIO'!$B$250:$B$251</definedName>
    <definedName name="prodmd">[26]line별생산실적!$C$24:$N$25</definedName>
    <definedName name="prodsd" localSheetId="0">[26]line별생산실적!#REF!</definedName>
    <definedName name="prodsd" localSheetId="1">[26]line별생산실적!#REF!</definedName>
    <definedName name="prodsd" localSheetId="3">[26]line별생산실적!#REF!</definedName>
    <definedName name="prodsd" localSheetId="2">[26]line별생산실적!#REF!</definedName>
    <definedName name="prodsd">[26]line별생산실적!#REF!</definedName>
    <definedName name="prodst">[26]line별생산실적!$C$28:$N$29</definedName>
    <definedName name="PRODSUM" localSheetId="0">#REF!</definedName>
    <definedName name="PRODSUM" localSheetId="1">#REF!</definedName>
    <definedName name="PRODSUM" localSheetId="3">#REF!</definedName>
    <definedName name="PRODSUM" localSheetId="2">#REF!</definedName>
    <definedName name="PRODSUM">#REF!</definedName>
    <definedName name="Product" localSheetId="0">[56]C1c!$C$9:$C$508</definedName>
    <definedName name="Product" localSheetId="4">[18]C1c!$C$9:$C$508</definedName>
    <definedName name="Product" localSheetId="5">[18]C1c!$C$9:$C$508</definedName>
    <definedName name="Product">[19]C1c!$C$9:$C$508</definedName>
    <definedName name="q">[27]손익총괄!$A$99</definedName>
    <definedName name="qq" localSheetId="0">#REF!</definedName>
    <definedName name="qq" localSheetId="1">#REF!</definedName>
    <definedName name="qq" localSheetId="3">#REF!</definedName>
    <definedName name="qq" localSheetId="2">#REF!</definedName>
    <definedName name="qq">#REF!</definedName>
    <definedName name="QQQ" localSheetId="3">#REF!</definedName>
    <definedName name="QQQ" localSheetId="2">#REF!</definedName>
    <definedName name="QQQ">#REF!</definedName>
    <definedName name="rbar" localSheetId="3">#REF!</definedName>
    <definedName name="rbar" localSheetId="2">#REF!</definedName>
    <definedName name="rbar">#REF!</definedName>
    <definedName name="_xlnm.Recorder">#REF!</definedName>
    <definedName name="RERURNREP" localSheetId="3">'[12]납품-환입'!#REF!</definedName>
    <definedName name="RERURNREP" localSheetId="2">'[12]납품-환입'!#REF!</definedName>
    <definedName name="RERURNREP">'[12]납품-환입'!#REF!</definedName>
    <definedName name="RETURNSCR" localSheetId="3">'[12]납품-환입'!#REF!</definedName>
    <definedName name="RETURNSCR" localSheetId="2">'[12]납품-환입'!#REF!</definedName>
    <definedName name="RETURNSCR">'[12]납품-환입'!#REF!</definedName>
    <definedName name="rr" localSheetId="0">#REF!</definedName>
    <definedName name="rr" localSheetId="1">#REF!</definedName>
    <definedName name="rr" localSheetId="3">#REF!</definedName>
    <definedName name="rr" localSheetId="2">#REF!</definedName>
    <definedName name="rr">#REF!</definedName>
    <definedName name="RSMINV" localSheetId="1">#REF!</definedName>
    <definedName name="RSMINV" localSheetId="3">#REF!</definedName>
    <definedName name="RSMINV" localSheetId="2">#REF!</definedName>
    <definedName name="RSMINV">#REF!</definedName>
    <definedName name="RSMORDER" localSheetId="1">'[12]납품-환입'!#REF!</definedName>
    <definedName name="RSMORDER" localSheetId="3">'[12]납품-환입'!#REF!</definedName>
    <definedName name="RSMORDER" localSheetId="2">'[12]납품-환입'!#REF!</definedName>
    <definedName name="RSMORDER">'[12]납품-환입'!#REF!</definedName>
    <definedName name="RSMOUTPUT" localSheetId="0">#REF!</definedName>
    <definedName name="RSMOUTPUT" localSheetId="1">#REF!</definedName>
    <definedName name="RSMOUTPUT" localSheetId="3">#REF!</definedName>
    <definedName name="RSMOUTPUT" localSheetId="2">#REF!</definedName>
    <definedName name="RSMOUTPUT">#REF!</definedName>
    <definedName name="RSMPLAN" localSheetId="1">#REF!</definedName>
    <definedName name="RSMPLAN" localSheetId="3">#REF!</definedName>
    <definedName name="RSMPLAN" localSheetId="2">#REF!</definedName>
    <definedName name="RSMPLAN">#REF!</definedName>
    <definedName name="rsmprodins" localSheetId="1">#REF!</definedName>
    <definedName name="rsmprodins" localSheetId="3">#REF!</definedName>
    <definedName name="rsmprodins" localSheetId="2">#REF!</definedName>
    <definedName name="rsmprodins">#REF!</definedName>
    <definedName name="rsmprodok" localSheetId="3">#REF!</definedName>
    <definedName name="rsmprodok" localSheetId="2">#REF!</definedName>
    <definedName name="rsmprodok">#REF!</definedName>
    <definedName name="rsmrepins" localSheetId="3">#REF!</definedName>
    <definedName name="rsmrepins" localSheetId="2">#REF!</definedName>
    <definedName name="rsmrepins">#REF!</definedName>
    <definedName name="rsmrepok" localSheetId="3">#REF!</definedName>
    <definedName name="rsmrepok" localSheetId="2">#REF!</definedName>
    <definedName name="rsmrepok">#REF!</definedName>
    <definedName name="s">[2]월급제부서원가별!$G$1</definedName>
    <definedName name="saleas">[28]line별매출!$B$75:$M$78</definedName>
    <definedName name="salemd">[28]line별매출!$B$22:$M$25</definedName>
    <definedName name="salest">[28]line별매출!$B$48:$M$51</definedName>
    <definedName name="Scope" localSheetId="0">[56]Selection!$B$583:$B$587</definedName>
    <definedName name="Scope" localSheetId="4">[18]Selection!$B$583:$B$587</definedName>
    <definedName name="Scope" localSheetId="5">[18]Selection!$B$583:$B$587</definedName>
    <definedName name="Scope">[19]Selection!$B$583:$B$587</definedName>
    <definedName name="scrap" localSheetId="0">'[12]납품-환입'!#REF!</definedName>
    <definedName name="scrap" localSheetId="1">'[12]납품-환입'!#REF!</definedName>
    <definedName name="scrap" localSheetId="3">'[12]납품-환입'!#REF!</definedName>
    <definedName name="scrap" localSheetId="2">'[12]납품-환입'!#REF!</definedName>
    <definedName name="scrap">'[12]납품-환입'!#REF!</definedName>
    <definedName name="SDA_2X" localSheetId="0">#REF!</definedName>
    <definedName name="SDA_2X" localSheetId="1">#REF!</definedName>
    <definedName name="SDA_2X" localSheetId="3">#REF!</definedName>
    <definedName name="SDA_2X" localSheetId="2">#REF!</definedName>
    <definedName name="SDA_2X">#REF!</definedName>
    <definedName name="Seafood_product_prep_packaging">'Ref)EEIO'!$B$53</definedName>
    <definedName name="SGF" localSheetId="0">[29]고합!#REF!</definedName>
    <definedName name="SGF">[29]고합!#REF!</definedName>
    <definedName name="SKINB" localSheetId="0">#REF!</definedName>
    <definedName name="SKINB" localSheetId="1">#REF!</definedName>
    <definedName name="SKINB" localSheetId="3">#REF!</definedName>
    <definedName name="SKINB" localSheetId="2">#REF!</definedName>
    <definedName name="SKINB">#REF!</definedName>
    <definedName name="SKINBUL" localSheetId="0">[12]SKINscrap!#REF!</definedName>
    <definedName name="SKINBUL" localSheetId="1">[12]SKINscrap!#REF!</definedName>
    <definedName name="SKINBUL" localSheetId="3">[12]SKINscrap!#REF!</definedName>
    <definedName name="SKINBUL" localSheetId="2">[12]SKINscrap!#REF!</definedName>
    <definedName name="SKINBUL">[12]SKINscrap!#REF!</definedName>
    <definedName name="SKIN폐기B" localSheetId="0">#REF!</definedName>
    <definedName name="SKIN폐기B" localSheetId="1">#REF!</definedName>
    <definedName name="SKIN폐기B" localSheetId="3">#REF!</definedName>
    <definedName name="SKIN폐기B" localSheetId="2">#REF!</definedName>
    <definedName name="SKIN폐기B">#REF!</definedName>
    <definedName name="Soft_drink_ice_mfg">'Ref)EEIO'!$B$54</definedName>
    <definedName name="SONATA" localSheetId="0" hidden="1">{#N/A,#N/A,FALSE,"해외크레임";#N/A,#N/A,FALSE,"ACCENT현황";#N/A,#N/A,FALSE,"AVANTE";#N/A,#N/A,FALSE,"SONATA(3)";#N/A,#N/A,FALSE,"국내크레임"}</definedName>
    <definedName name="SONATA" localSheetId="1"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0" hidden="1">{#N/A,#N/A,FALSE,"해외크레임";#N/A,#N/A,FALSE,"ACCENT현황";#N/A,#N/A,FALSE,"AVANTE";#N/A,#N/A,FALSE,"SONATA(3)";#N/A,#N/A,FALSE,"국내크레임"}</definedName>
    <definedName name="SONATA1" localSheetId="1"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PC" localSheetId="0">#REF!</definedName>
    <definedName name="SPC" localSheetId="1">#REF!</definedName>
    <definedName name="SPC" localSheetId="3">#REF!</definedName>
    <definedName name="SPC" localSheetId="2">#REF!</definedName>
    <definedName name="SPC">#REF!</definedName>
    <definedName name="SQC" localSheetId="3">#REF!</definedName>
    <definedName name="SQC" localSheetId="2">#REF!</definedName>
    <definedName name="SQC">#REF!</definedName>
    <definedName name="ss">[17]대구!$I$10:$K$14</definedName>
    <definedName name="Sugar_confectionery_product_mfg">'Ref)EEIO'!$B$55</definedName>
    <definedName name="S행" localSheetId="0">[3]대외공문!#REF!</definedName>
    <definedName name="S행" localSheetId="1">[3]대외공문!#REF!</definedName>
    <definedName name="S행" localSheetId="3">[3]대외공문!#REF!</definedName>
    <definedName name="S행" localSheetId="2">[3]대외공문!#REF!</definedName>
    <definedName name="S행">[3]대외공문!#REF!</definedName>
    <definedName name="t">[2]일급제부서원가별!$E$1</definedName>
    <definedName name="TEX" localSheetId="0">#REF!</definedName>
    <definedName name="TEX" localSheetId="1">#REF!</definedName>
    <definedName name="TEX" localSheetId="3">#REF!</definedName>
    <definedName name="TEX" localSheetId="2">#REF!</definedName>
    <definedName name="TEX">#REF!</definedName>
    <definedName name="Textile_mills_apparel">'Ref)EEIO'!$B$252:$B$259</definedName>
    <definedName name="TEXTO" localSheetId="0">#REF!</definedName>
    <definedName name="TEXTO" localSheetId="3">#REF!</definedName>
    <definedName name="TEXTO" localSheetId="2">#REF!</definedName>
    <definedName name="TEXTO">#REF!</definedName>
    <definedName name="TIBURON" localSheetId="0" hidden="1">{#N/A,#N/A,FALSE,"해외크레임";#N/A,#N/A,FALSE,"ACCENT현황";#N/A,#N/A,FALSE,"AVANTE";#N/A,#N/A,FALSE,"SONATA(3)";#N/A,#N/A,FALSE,"국내크레임"}</definedName>
    <definedName name="TIBURON" localSheetId="1"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obacco_product_mfg">'Ref)EEIO'!$B$260</definedName>
    <definedName name="TOP" localSheetId="0" hidden="1">{#N/A,#N/A,FALSE,"해외크레임";#N/A,#N/A,FALSE,"ACCENT현황";#N/A,#N/A,FALSE,"AVANTE";#N/A,#N/A,FALSE,"SONATA(3)";#N/A,#N/A,FALSE,"국내크레임"}</definedName>
    <definedName name="TOP" localSheetId="1" hidden="1">{#N/A,#N/A,FALSE,"해외크레임";#N/A,#N/A,FALSE,"ACCENT현황";#N/A,#N/A,FALSE,"AVANTE";#N/A,#N/A,FALSE,"SONATA(3)";#N/A,#N/A,FALSE,"국내크레임"}</definedName>
    <definedName name="TOP" hidden="1">{#N/A,#N/A,FALSE,"해외크레임";#N/A,#N/A,FALSE,"ACCENT현황";#N/A,#N/A,FALSE,"AVANTE";#N/A,#N/A,FALSE,"SONATA(3)";#N/A,#N/A,FALSE,"국내크레임"}</definedName>
    <definedName name="TPM기본" localSheetId="0">#REF!</definedName>
    <definedName name="TPM기본" localSheetId="1">#REF!</definedName>
    <definedName name="TPM기본" localSheetId="3">#REF!</definedName>
    <definedName name="TPM기본" localSheetId="2">#REF!</definedName>
    <definedName name="TPM기본">#REF!</definedName>
    <definedName name="TPM심화" localSheetId="3">#REF!</definedName>
    <definedName name="TPM심화" localSheetId="2">#REF!</definedName>
    <definedName name="TPM심화">#REF!</definedName>
    <definedName name="tt" localSheetId="3">#REF!</definedName>
    <definedName name="tt" localSheetId="2">#REF!</definedName>
    <definedName name="tt">#REF!</definedName>
    <definedName name="T행" localSheetId="3">[3]대외공문!#REF!</definedName>
    <definedName name="T행" localSheetId="2">[3]대외공문!#REF!</definedName>
    <definedName name="T행">[3]대외공문!#REF!</definedName>
    <definedName name="U" localSheetId="0">#REF!</definedName>
    <definedName name="U" localSheetId="1">#REF!</definedName>
    <definedName name="U" localSheetId="3">#REF!</definedName>
    <definedName name="U" localSheetId="2">#REF!</definedName>
    <definedName name="U">#REF!</definedName>
    <definedName name="ULSAN">[11]울산!$I$10:$K$125</definedName>
    <definedName name="UNYANG">[16]언양!$I$10:$K$86</definedName>
    <definedName name="UT" localSheetId="0">[30]공문송부업체!#REF!</definedName>
    <definedName name="UT" localSheetId="1">[30]공문송부업체!#REF!</definedName>
    <definedName name="UT" localSheetId="3">[30]공문송부업체!#REF!</definedName>
    <definedName name="UT" localSheetId="2">[30]공문송부업체!#REF!</definedName>
    <definedName name="UT">[30]공문송부업체!#REF!</definedName>
    <definedName name="uu">[23]구미!$I$10:$K$48</definedName>
    <definedName name="VBM기본" localSheetId="0">#REF!</definedName>
    <definedName name="VBM기본" localSheetId="1">#REF!</definedName>
    <definedName name="VBM기본" localSheetId="3">#REF!</definedName>
    <definedName name="VBM기본" localSheetId="2">#REF!</definedName>
    <definedName name="VBM기본">#REF!</definedName>
    <definedName name="VBM전략" localSheetId="3">#REF!</definedName>
    <definedName name="VBM전략" localSheetId="2">#REF!</definedName>
    <definedName name="VBM전략">#REF!</definedName>
    <definedName name="vv">[23]구미!$R$10:$T$48</definedName>
    <definedName name="WIR" localSheetId="0">#REF!</definedName>
    <definedName name="WIR" localSheetId="1">#REF!</definedName>
    <definedName name="WIR" localSheetId="3">#REF!</definedName>
    <definedName name="WIR" localSheetId="2">#REF!</definedName>
    <definedName name="WIR">#REF!</definedName>
    <definedName name="WIRTO" localSheetId="3">#REF!</definedName>
    <definedName name="WIRTO" localSheetId="2">#REF!</definedName>
    <definedName name="WIRTO">#REF!</definedName>
    <definedName name="Wood_prods">'Ref)EEIO'!$B$261:$B$264</definedName>
    <definedName name="wrn.100PPM._.개선사례._.바인더._.BOOK." localSheetId="0" hidden="1">{#N/A,#N/A,FALSE,"100PPM";#N/A,#N/A,FALSE,"3차원대책서";#N/A,#N/A,FALSE,"개선사례"}</definedName>
    <definedName name="wrn.100PPM._.개선사례._.바인더._.BOOK." localSheetId="1" hidden="1">{#N/A,#N/A,FALSE,"100PPM";#N/A,#N/A,FALSE,"3차원대책서";#N/A,#N/A,FALSE,"개선사례"}</definedName>
    <definedName name="wrn.100PPM._.개선사례._.바인더._.BOOK." hidden="1">{#N/A,#N/A,FALSE,"100PPM";#N/A,#N/A,FALSE,"3차원대책서";#N/A,#N/A,FALSE,"개선사례"}</definedName>
    <definedName name="wrn.11." localSheetId="0" hidden="1">{#N/A,#N/A,FALSE,"해외크레임";#N/A,#N/A,FALSE,"ACCENT현황";#N/A,#N/A,FALSE,"AVANTE";#N/A,#N/A,FALSE,"SONATA(3)";#N/A,#N/A,FALSE,"국내크레임"}</definedName>
    <definedName name="wrn.11." localSheetId="1"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DQ." localSheetId="0" hidden="1">{#N/A,#N/A,FALSE,"품의서";#N/A,#N/A,FALSE,"추진목적";#N/A,#N/A,FALSE,"활동내용";#N/A,#N/A,FALSE,"캠페인 전개방법";#N/A,#N/A,FALSE,"방송원고,뺏지"}</definedName>
    <definedName name="wrn.DQ." localSheetId="1"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w" localSheetId="0">#REF!</definedName>
    <definedName name="ww" localSheetId="1">#REF!</definedName>
    <definedName name="ww" localSheetId="3">#REF!</definedName>
    <definedName name="ww" localSheetId="2">#REF!</definedName>
    <definedName name="ww">#REF!</definedName>
    <definedName name="W행" localSheetId="0">'[3]2.대외공문'!#REF!</definedName>
    <definedName name="W행" localSheetId="1">'[3]2.대외공문'!#REF!</definedName>
    <definedName name="W행" localSheetId="3">'[3]2.대외공문'!#REF!</definedName>
    <definedName name="W행" localSheetId="2">'[3]2.대외공문'!#REF!</definedName>
    <definedName name="W행">'[3]2.대외공문'!#REF!</definedName>
    <definedName name="X">[17]대구!$I$10:$K$45</definedName>
    <definedName name="XBAR" localSheetId="0">#REF!</definedName>
    <definedName name="XBAR" localSheetId="1">#REF!</definedName>
    <definedName name="XBAR" localSheetId="3">#REF!</definedName>
    <definedName name="XBAR" localSheetId="2">#REF!</definedName>
    <definedName name="XBAR">#REF!</definedName>
    <definedName name="xx" localSheetId="3">#REF!</definedName>
    <definedName name="xx" localSheetId="2">#REF!</definedName>
    <definedName name="xx">#REF!</definedName>
    <definedName name="xxx">#REF!</definedName>
    <definedName name="YA">[31]매출DATA!$C$21</definedName>
    <definedName name="YARN" localSheetId="0">#REF!</definedName>
    <definedName name="YARN" localSheetId="1">#REF!</definedName>
    <definedName name="YARN" localSheetId="3">#REF!</definedName>
    <definedName name="YARN" localSheetId="2">#REF!</definedName>
    <definedName name="YARN">#REF!</definedName>
    <definedName name="YB">[31]매출DATA!$D$21</definedName>
    <definedName name="YC">[31]매출DATA!$E$21</definedName>
    <definedName name="YONGYUN">[8]용연!$I$10:$K$48</definedName>
    <definedName name="YONHYUN">[8]용연!$I$10:$K$48</definedName>
    <definedName name="yy" localSheetId="0">#REF!</definedName>
    <definedName name="yy" localSheetId="1">#REF!</definedName>
    <definedName name="yy" localSheetId="3">#REF!</definedName>
    <definedName name="yy" localSheetId="2">#REF!</definedName>
    <definedName name="yy">#REF!</definedName>
    <definedName name="Z">#REF!</definedName>
    <definedName name="zz" localSheetId="3">#REF!</definedName>
    <definedName name="zz" localSheetId="2">#REF!</definedName>
    <definedName name="zz">#REF!</definedName>
    <definedName name="가">#REF!</definedName>
    <definedName name="갈등관리" localSheetId="3">#REF!</definedName>
    <definedName name="갈등관리" localSheetId="2">#REF!</definedName>
    <definedName name="갈등관리">#REF!</definedName>
    <definedName name="거래선">'[32]10고객별 담당자'!$A$3:$D$892</definedName>
    <definedName name="경영계획수립" localSheetId="0">#REF!</definedName>
    <definedName name="경영계획수립" localSheetId="1">#REF!</definedName>
    <definedName name="경영계획수립" localSheetId="3">#REF!</definedName>
    <definedName name="경영계획수립" localSheetId="2">#REF!</definedName>
    <definedName name="경영계획수립">#REF!</definedName>
    <definedName name="계">#REF!</definedName>
    <definedName name="계상산" localSheetId="1">'[3]#REF'!#REF!</definedName>
    <definedName name="계상산" localSheetId="3">'[3]#REF'!#REF!</definedName>
    <definedName name="계상산" localSheetId="2">'[3]#REF'!#REF!</definedName>
    <definedName name="계상산">'[3]#REF'!#REF!</definedName>
    <definedName name="계승산" localSheetId="1">'[3]#REF'!#REF!</definedName>
    <definedName name="계승산" localSheetId="3">'[3]#REF'!#REF!</definedName>
    <definedName name="계승산" localSheetId="2">'[3]#REF'!#REF!</definedName>
    <definedName name="계승산">'[3]#REF'!#REF!</definedName>
    <definedName name="계약91" localSheetId="1">[3]경쟁실분!#REF!</definedName>
    <definedName name="계약91" localSheetId="3">[3]경쟁실분!#REF!</definedName>
    <definedName name="계약91" localSheetId="2">[3]경쟁실분!#REF!</definedName>
    <definedName name="계약91">[3]경쟁실분!#REF!</definedName>
    <definedName name="계전산" localSheetId="1">'[3]#REF'!#REF!</definedName>
    <definedName name="계전산" localSheetId="3">'[3]#REF'!#REF!</definedName>
    <definedName name="계전산" localSheetId="2">'[3]#REF'!#REF!</definedName>
    <definedName name="계전산">'[3]#REF'!#REF!</definedName>
    <definedName name="고">[33]요약!#REF!</definedName>
    <definedName name="고기" localSheetId="0">#REF!</definedName>
    <definedName name="고기">#REF!</definedName>
    <definedName name="고기여" localSheetId="0">#REF!</definedName>
    <definedName name="고기여">#REF!</definedName>
    <definedName name="고기평" localSheetId="0">#REF!</definedName>
    <definedName name="고기평">#REF!</definedName>
    <definedName name="고연">#REF!</definedName>
    <definedName name="고연여">#REF!</definedName>
    <definedName name="고연평">#REF!</definedName>
    <definedName name="고정ot">#REF!</definedName>
    <definedName name="고통">#REF!</definedName>
    <definedName name="고통여">#REF!</definedName>
    <definedName name="고통평">#REF!</definedName>
    <definedName name="공수현황">[34]고합!#REF!</definedName>
    <definedName name="공정" localSheetId="0">#REF!</definedName>
    <definedName name="공정" localSheetId="1">#REF!</definedName>
    <definedName name="공정" localSheetId="3">#REF!</definedName>
    <definedName name="공정" localSheetId="2">#REF!</definedName>
    <definedName name="공정">#REF!</definedName>
    <definedName name="광주">[10]광주!$I$10:$K$48</definedName>
    <definedName name="구미">[23]구미!$I$10:$K$48</definedName>
    <definedName name="구미1" localSheetId="0">#REF!</definedName>
    <definedName name="구미1" localSheetId="1">#REF!</definedName>
    <definedName name="구미1" localSheetId="3">#REF!</definedName>
    <definedName name="구미1" localSheetId="2">#REF!</definedName>
    <definedName name="구미1">#REF!</definedName>
    <definedName name="국제매너" localSheetId="3">#REF!</definedName>
    <definedName name="국제매너" localSheetId="2">#REF!</definedName>
    <definedName name="국제매너">#REF!</definedName>
    <definedName name="국제협상" localSheetId="3">#REF!</definedName>
    <definedName name="국제협상" localSheetId="2">#REF!</definedName>
    <definedName name="국제협상">#REF!</definedName>
    <definedName name="그것" localSheetId="3">[3]경쟁실분!#REF!</definedName>
    <definedName name="그것" localSheetId="2">[3]경쟁실분!#REF!</definedName>
    <definedName name="그것">[3]경쟁실분!#REF!</definedName>
    <definedName name="근" localSheetId="0">#REF!</definedName>
    <definedName name="근">#REF!</definedName>
    <definedName name="근속" localSheetId="3">[2]고합!#REF!</definedName>
    <definedName name="근속" localSheetId="2">[2]고합!#REF!</definedName>
    <definedName name="근속">[2]고합!#REF!</definedName>
    <definedName name="금형비" localSheetId="0">#REF!</definedName>
    <definedName name="금형비" localSheetId="1">#REF!</definedName>
    <definedName name="금형비" localSheetId="3">#REF!</definedName>
    <definedName name="금형비" localSheetId="2">#REF!</definedName>
    <definedName name="금형비">#REF!</definedName>
    <definedName name="기">#REF!</definedName>
    <definedName name="기능">#REF!</definedName>
    <definedName name="기본" localSheetId="1">[2]고합!#REF!</definedName>
    <definedName name="기본" localSheetId="3">[2]고합!#REF!</definedName>
    <definedName name="기본" localSheetId="2">[2]고합!#REF!</definedName>
    <definedName name="기본">[2]고합!#REF!</definedName>
    <definedName name="기본급" localSheetId="0">#REF!</definedName>
    <definedName name="기본급">#REF!</definedName>
    <definedName name="기본급BASE" localSheetId="0">#REF!</definedName>
    <definedName name="기본급BASE">#REF!</definedName>
    <definedName name="기안갑" localSheetId="1">'[3]2.대외공문'!#REF!</definedName>
    <definedName name="기안갑" localSheetId="3">'[3]2.대외공문'!#REF!</definedName>
    <definedName name="기안갑" localSheetId="2">'[3]2.대외공문'!#REF!</definedName>
    <definedName name="기안갑">'[3]2.대외공문'!#REF!</definedName>
    <definedName name="기안을" localSheetId="1">'[3]2.대외공문'!#REF!</definedName>
    <definedName name="기안을" localSheetId="3">'[3]2.대외공문'!#REF!</definedName>
    <definedName name="기안을" localSheetId="2">'[3]2.대외공문'!#REF!</definedName>
    <definedName name="기안을">'[3]2.대외공문'!#REF!</definedName>
    <definedName name="기저14" localSheetId="3">'[35]#REF'!#REF!</definedName>
    <definedName name="기저14" localSheetId="2">'[35]#REF'!#REF!</definedName>
    <definedName name="기저14">'[35]#REF'!#REF!</definedName>
    <definedName name="기전1" localSheetId="0" hidden="1">#REF!</definedName>
    <definedName name="기전1" localSheetId="1" hidden="1">#REF!</definedName>
    <definedName name="기전1" localSheetId="3" hidden="1">#REF!</definedName>
    <definedName name="기전1" localSheetId="2" hidden="1">#REF!</definedName>
    <definedName name="기전1" hidden="1">#REF!</definedName>
    <definedName name="기전10" localSheetId="3">#REF!</definedName>
    <definedName name="기전10" localSheetId="2">#REF!</definedName>
    <definedName name="기전10">#REF!</definedName>
    <definedName name="기전11">[35]용연!$I$10:$K$48</definedName>
    <definedName name="기전12">[35]울산!$I$10:$K$125</definedName>
    <definedName name="기전13" localSheetId="0">'[35]#REF'!#REF!</definedName>
    <definedName name="기전13" localSheetId="1">'[35]#REF'!#REF!</definedName>
    <definedName name="기전13" localSheetId="3">'[35]#REF'!#REF!</definedName>
    <definedName name="기전13" localSheetId="2">'[35]#REF'!#REF!</definedName>
    <definedName name="기전13">'[35]#REF'!#REF!</definedName>
    <definedName name="기전15">[35]진천!$I$10:$K$42</definedName>
    <definedName name="기전2">[35]구미!$I$10:$K$48</definedName>
    <definedName name="기전3">[35]대구!$I$10:$K$48</definedName>
    <definedName name="기전4" localSheetId="0">#REF!</definedName>
    <definedName name="기전4" localSheetId="1">#REF!</definedName>
    <definedName name="기전4" localSheetId="3">#REF!</definedName>
    <definedName name="기전4" localSheetId="2">#REF!</definedName>
    <definedName name="기전4">#REF!</definedName>
    <definedName name="기전5" localSheetId="0">'[35]#REF'!#REF!</definedName>
    <definedName name="기전5" localSheetId="1">'[35]#REF'!#REF!</definedName>
    <definedName name="기전5" localSheetId="3">'[35]#REF'!#REF!</definedName>
    <definedName name="기전5" localSheetId="2">'[35]#REF'!#REF!</definedName>
    <definedName name="기전5">'[35]#REF'!#REF!</definedName>
    <definedName name="기전6" localSheetId="1">'[35]#REF'!#REF!</definedName>
    <definedName name="기전6" localSheetId="3">'[35]#REF'!#REF!</definedName>
    <definedName name="기전6" localSheetId="2">'[35]#REF'!#REF!</definedName>
    <definedName name="기전6">'[35]#REF'!#REF!</definedName>
    <definedName name="기전7" localSheetId="1">'[35]#REF'!#REF!</definedName>
    <definedName name="기전7" localSheetId="3">'[35]#REF'!#REF!</definedName>
    <definedName name="기전7" localSheetId="2">'[35]#REF'!#REF!</definedName>
    <definedName name="기전7">'[35]#REF'!#REF!</definedName>
    <definedName name="기전8">[35]언양!$I$10:$K$86</definedName>
    <definedName name="기존" localSheetId="0">#REF!</definedName>
    <definedName name="기존" localSheetId="1">#REF!</definedName>
    <definedName name="기존" localSheetId="3">#REF!</definedName>
    <definedName name="기존" localSheetId="2">#REF!</definedName>
    <definedName name="기존">#REF!</definedName>
    <definedName name="기준UPMH">[36]기준UPMG현황!$C$7:$D$52</definedName>
    <definedName name="기타" localSheetId="0">#REF!</definedName>
    <definedName name="기타">#REF!</definedName>
    <definedName name="ㄴㄴ" localSheetId="1">[3]그패프!#REF!</definedName>
    <definedName name="ㄴㄴ" localSheetId="3">[3]그패프!#REF!</definedName>
    <definedName name="ㄴㄴ" localSheetId="2">[3]그패프!#REF!</definedName>
    <definedName name="ㄴㄴ">[3]그패프!#REF!</definedName>
    <definedName name="남자" localSheetId="0">#REF!</definedName>
    <definedName name="남자">#REF!</definedName>
    <definedName name="낭비개선" localSheetId="1">#REF!</definedName>
    <definedName name="낭비개선" localSheetId="3">#REF!</definedName>
    <definedName name="낭비개선" localSheetId="2">#REF!</definedName>
    <definedName name="낭비개선">#REF!</definedName>
    <definedName name="내ㅜㅁㅅㅁ" localSheetId="0" hidden="1">{#N/A,#N/A,FALSE,"해외크레임";#N/A,#N/A,FALSE,"ACCENT현황";#N/A,#N/A,FALSE,"AVANTE";#N/A,#N/A,FALSE,"SONATA(3)";#N/A,#N/A,FALSE,"국내크레임"}</definedName>
    <definedName name="내ㅜㅁㅅㅁ" localSheetId="1"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단가">'[37]07제품별수익성'!$F$2:$J$723</definedName>
    <definedName name="단위원가">'[38]06제품별수익성'!$F$2:$J$828</definedName>
    <definedName name="담당자">'[39]11고객별 담당자'!$A$3:$D$928</definedName>
    <definedName name="당기" localSheetId="0">#REF!</definedName>
    <definedName name="당기">#REF!</definedName>
    <definedName name="당기여" localSheetId="0">#REF!</definedName>
    <definedName name="당기여">#REF!</definedName>
    <definedName name="당기평" localSheetId="0">#REF!</definedName>
    <definedName name="당기평">#REF!</definedName>
    <definedName name="당연">#REF!</definedName>
    <definedName name="당연여">#REF!</definedName>
    <definedName name="당연평">#REF!</definedName>
    <definedName name="당통">#REF!</definedName>
    <definedName name="당통여">#REF!</definedName>
    <definedName name="당통평">#REF!</definedName>
    <definedName name="대구">[17]대구!$I$10:$K$48</definedName>
    <definedName name="대리" localSheetId="0">#REF!</definedName>
    <definedName name="대리">#REF!</definedName>
    <definedName name="대상" localSheetId="1">#REF!</definedName>
    <definedName name="대상" localSheetId="3">#REF!</definedName>
    <definedName name="대상" localSheetId="2">#REF!</definedName>
    <definedName name="대상">#REF!</definedName>
    <definedName name="대책서" localSheetId="0" hidden="1">{#N/A,#N/A,FALSE,"100PPM";#N/A,#N/A,FALSE,"3차원대책서";#N/A,#N/A,FALSE,"개선사례"}</definedName>
    <definedName name="대책서" localSheetId="1" hidden="1">{#N/A,#N/A,FALSE,"100PPM";#N/A,#N/A,FALSE,"3차원대책서";#N/A,#N/A,FALSE,"개선사례"}</definedName>
    <definedName name="대책서" hidden="1">{#N/A,#N/A,FALSE,"100PPM";#N/A,#N/A,FALSE,"3차원대책서";#N/A,#N/A,FALSE,"개선사례"}</definedName>
    <definedName name="동">[33]요약!#REF!</definedName>
    <definedName name="동국" localSheetId="0" hidden="1">{#N/A,#N/A,FALSE,"해외크레임";#N/A,#N/A,FALSE,"ACCENT현황";#N/A,#N/A,FALSE,"AVANTE";#N/A,#N/A,FALSE,"SONATA(3)";#N/A,#N/A,FALSE,"국내크레임"}</definedName>
    <definedName name="동국" localSheetId="1"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기" localSheetId="0">#REF!</definedName>
    <definedName name="동기">#REF!</definedName>
    <definedName name="동기여" localSheetId="0">#REF!</definedName>
    <definedName name="동기여">#REF!</definedName>
    <definedName name="동기평" localSheetId="0">#REF!</definedName>
    <definedName name="동기평">#REF!</definedName>
    <definedName name="동력팀" localSheetId="3">#REF!</definedName>
    <definedName name="동력팀" localSheetId="2">#REF!</definedName>
    <definedName name="동력팀">#REF!</definedName>
    <definedName name="동연">#REF!</definedName>
    <definedName name="동연여">#REF!</definedName>
    <definedName name="동연평">#REF!</definedName>
    <definedName name="동통">#REF!</definedName>
    <definedName name="동통여">#REF!</definedName>
    <definedName name="동통평">#REF!</definedName>
    <definedName name="동향10" localSheetId="0" hidden="1">{#N/A,#N/A,FALSE,"해외크레임";#N/A,#N/A,FALSE,"ACCENT현황";#N/A,#N/A,FALSE,"AVANTE";#N/A,#N/A,FALSE,"SONATA(3)";#N/A,#N/A,FALSE,"국내크레임"}</definedName>
    <definedName name="동향10" localSheetId="1"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0" hidden="1">{#N/A,#N/A,FALSE,"해외크레임";#N/A,#N/A,FALSE,"ACCENT현황";#N/A,#N/A,FALSE,"AVANTE";#N/A,#N/A,FALSE,"SONATA(3)";#N/A,#N/A,FALSE,"국내크레임"}</definedName>
    <definedName name="동향11" localSheetId="1"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0" hidden="1">{#N/A,#N/A,FALSE,"해외크레임";#N/A,#N/A,FALSE,"ACCENT현황";#N/A,#N/A,FALSE,"AVANTE";#N/A,#N/A,FALSE,"SONATA(3)";#N/A,#N/A,FALSE,"국내크레임"}</definedName>
    <definedName name="동향7" localSheetId="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ㄹㄹ" localSheetId="3">'[3]2.대외공문'!#REF!</definedName>
    <definedName name="ㄹㄹ" localSheetId="2">'[3]2.대외공문'!#REF!</definedName>
    <definedName name="ㄹㄹ">'[3]2.대외공문'!#REF!</definedName>
    <definedName name="ㄹㄹㄹ" localSheetId="3">[3]대외공문!#REF!</definedName>
    <definedName name="ㄹㄹㄹ" localSheetId="2">[3]대외공문!#REF!</definedName>
    <definedName name="ㄹㄹㄹ">[3]대외공문!#REF!</definedName>
    <definedName name="ㄹㄹㄹㄹ" localSheetId="3">[3]대외공문!#REF!</definedName>
    <definedName name="ㄹㄹㄹㄹ" localSheetId="2">[3]대외공문!#REF!</definedName>
    <definedName name="ㄹㄹㄹㄹ">[3]대외공문!#REF!</definedName>
    <definedName name="리더십" localSheetId="0">#REF!</definedName>
    <definedName name="리더십" localSheetId="1">#REF!</definedName>
    <definedName name="리더십" localSheetId="3">#REF!</definedName>
    <definedName name="리더십" localSheetId="2">#REF!</definedName>
    <definedName name="리더십">#REF!</definedName>
    <definedName name="ㅁ" localSheetId="0">'[40]99계획대비실적'!#REF!</definedName>
    <definedName name="ㅁ">'[40]99계획대비실적'!#REF!</definedName>
    <definedName name="ㅁㄴ" localSheetId="0" hidden="1">{#N/A,#N/A,FALSE,"100PPM";#N/A,#N/A,FALSE,"3차원대책서";#N/A,#N/A,FALSE,"개선사례"}</definedName>
    <definedName name="ㅁㄴ" localSheetId="1" hidden="1">{#N/A,#N/A,FALSE,"100PPM";#N/A,#N/A,FALSE,"3차원대책서";#N/A,#N/A,FALSE,"개선사례"}</definedName>
    <definedName name="ㅁㄴ" hidden="1">{#N/A,#N/A,FALSE,"100PPM";#N/A,#N/A,FALSE,"3차원대책서";#N/A,#N/A,FALSE,"개선사례"}</definedName>
    <definedName name="ㅁㅁ" localSheetId="3">'[3]#REF'!#REF!</definedName>
    <definedName name="ㅁㅁ" localSheetId="2">'[3]#REF'!#REF!</definedName>
    <definedName name="ㅁㅁ">'[3]#REF'!#REF!</definedName>
    <definedName name="ㅁㅁㄴ">[41]고합!#REF!</definedName>
    <definedName name="ㅁㅁㅁㅁ" localSheetId="0" hidden="1">{#N/A,#N/A,FALSE,"100PPM";#N/A,#N/A,FALSE,"3차원대책서";#N/A,#N/A,FALSE,"개선사례"}</definedName>
    <definedName name="ㅁㅁㅁㅁ" localSheetId="1" hidden="1">{#N/A,#N/A,FALSE,"100PPM";#N/A,#N/A,FALSE,"3차원대책서";#N/A,#N/A,FALSE,"개선사례"}</definedName>
    <definedName name="ㅁㅁㅁㅁ" hidden="1">{#N/A,#N/A,FALSE,"100PPM";#N/A,#N/A,FALSE,"3차원대책서";#N/A,#N/A,FALSE,"개선사례"}</definedName>
    <definedName name="마케팅" localSheetId="0">#REF!</definedName>
    <definedName name="마케팅" localSheetId="1">#REF!</definedName>
    <definedName name="마케팅" localSheetId="3">#REF!</definedName>
    <definedName name="마케팅" localSheetId="2">#REF!</definedName>
    <definedName name="마케팅">#REF!</definedName>
    <definedName name="마케팅기본" localSheetId="3">#REF!</definedName>
    <definedName name="마케팅기본" localSheetId="2">#REF!</definedName>
    <definedName name="마케팅기본">#REF!</definedName>
    <definedName name="마케팅심화" localSheetId="3">#REF!</definedName>
    <definedName name="마케팅심화" localSheetId="2">#REF!</definedName>
    <definedName name="마케팅심화">#REF!</definedName>
    <definedName name="마케팅전략" localSheetId="3">#REF!</definedName>
    <definedName name="마케팅전략" localSheetId="2">#REF!</definedName>
    <definedName name="마케팅전략">#REF!</definedName>
    <definedName name="만" localSheetId="3">'[3]#REF'!#REF!</definedName>
    <definedName name="만" localSheetId="2">'[3]#REF'!#REF!</definedName>
    <definedName name="만">'[3]#REF'!#REF!</definedName>
    <definedName name="매익" localSheetId="0">#REF!</definedName>
    <definedName name="매익" localSheetId="1">#REF!</definedName>
    <definedName name="매익" localSheetId="3">#REF!</definedName>
    <definedName name="매익" localSheetId="2">#REF!</definedName>
    <definedName name="매익">#REF!</definedName>
    <definedName name="메ㅔ">[10]광주!$I$10:$K$48</definedName>
    <definedName name="면허" localSheetId="0">#REF!</definedName>
    <definedName name="면허">#REF!</definedName>
    <definedName name="문제해결" localSheetId="1">#REF!</definedName>
    <definedName name="문제해결" localSheetId="3">#REF!</definedName>
    <definedName name="문제해결" localSheetId="2">#REF!</definedName>
    <definedName name="문제해결">#REF!</definedName>
    <definedName name="미">#REF!</definedName>
    <definedName name="미접수" localSheetId="0" hidden="1">{#N/A,#N/A,FALSE,"해외크레임";#N/A,#N/A,FALSE,"ACCENT현황";#N/A,#N/A,FALSE,"AVANTE";#N/A,#N/A,FALSE,"SONATA(3)";#N/A,#N/A,FALSE,"국내크레임"}</definedName>
    <definedName name="미접수" localSheetId="1"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혼" localSheetId="3">[2]고합!#REF!</definedName>
    <definedName name="미혼" localSheetId="2">[2]고합!#REF!</definedName>
    <definedName name="미혼">[2]고합!#REF!</definedName>
    <definedName name="바보" localSheetId="3">[2]일급제인원실적!#REF!</definedName>
    <definedName name="바보" localSheetId="2">[2]일급제인원실적!#REF!</definedName>
    <definedName name="바보">[2]일급제인원실적!#REF!</definedName>
    <definedName name="반조장" localSheetId="0">#REF!</definedName>
    <definedName name="반조장">#REF!</definedName>
    <definedName name="발포B" localSheetId="1">#REF!</definedName>
    <definedName name="발포B" localSheetId="3">#REF!</definedName>
    <definedName name="발포B" localSheetId="2">#REF!</definedName>
    <definedName name="발포B">#REF!</definedName>
    <definedName name="발포폐기B" localSheetId="1">#REF!</definedName>
    <definedName name="발포폐기B" localSheetId="3">#REF!</definedName>
    <definedName name="발포폐기B" localSheetId="2">#REF!</definedName>
    <definedName name="발포폐기B">#REF!</definedName>
    <definedName name="방1ny생산량" localSheetId="1">'[5]#REF'!#REF!</definedName>
    <definedName name="방1ny생산량" localSheetId="3">'[5]#REF'!#REF!</definedName>
    <definedName name="방1ny생산량" localSheetId="2">'[5]#REF'!#REF!</definedName>
    <definedName name="방1ny생산량">'[5]#REF'!#REF!</definedName>
    <definedName name="방사1" localSheetId="1">'[5]#REF'!#REF!</definedName>
    <definedName name="방사1" localSheetId="3">'[5]#REF'!#REF!</definedName>
    <definedName name="방사1" localSheetId="2">'[5]#REF'!#REF!</definedName>
    <definedName name="방사1">'[5]#REF'!#REF!</definedName>
    <definedName name="배" localSheetId="0">#REF!</definedName>
    <definedName name="배">#REF!</definedName>
    <definedName name="배우자" localSheetId="1">[2]고합!#REF!</definedName>
    <definedName name="배우자" localSheetId="3">[2]고합!#REF!</definedName>
    <definedName name="배우자" localSheetId="2">[2]고합!#REF!</definedName>
    <definedName name="배우자">[2]고합!#REF!</definedName>
    <definedName name="변경" localSheetId="0">#REF!</definedName>
    <definedName name="변경" localSheetId="1">#REF!</definedName>
    <definedName name="변경" localSheetId="3">#REF!</definedName>
    <definedName name="변경" localSheetId="2">#REF!</definedName>
    <definedName name="변경">#REF!</definedName>
    <definedName name="변압기" localSheetId="1">#REF!</definedName>
    <definedName name="변압기" localSheetId="3">#REF!</definedName>
    <definedName name="변압기" localSheetId="2">#REF!</definedName>
    <definedName name="변압기">#REF!</definedName>
    <definedName name="보고서" localSheetId="3">#REF!</definedName>
    <definedName name="보고서" localSheetId="2">#REF!</definedName>
    <definedName name="보고서">#REF!</definedName>
    <definedName name="보고서_꽁수">[42]직급실적!#REF!</definedName>
    <definedName name="복리">[34]고합!#REF!</definedName>
    <definedName name="복지" localSheetId="3">[2]고합!#REF!</definedName>
    <definedName name="복지" localSheetId="2">[2]고합!#REF!</definedName>
    <definedName name="복지">[2]고합!#REF!</definedName>
    <definedName name="본봉" localSheetId="3">[2]고합!#REF!</definedName>
    <definedName name="본봉" localSheetId="2">[2]고합!#REF!</definedName>
    <definedName name="본봉">[2]고합!#REF!</definedName>
    <definedName name="부" localSheetId="0">#REF!</definedName>
    <definedName name="부">#REF!</definedName>
    <definedName name="부담액" localSheetId="0">#REF!</definedName>
    <definedName name="부담액">#REF!</definedName>
    <definedName name="부모" localSheetId="1">[2]고합!#REF!</definedName>
    <definedName name="부모" localSheetId="3">[2]고합!#REF!</definedName>
    <definedName name="부모" localSheetId="2">[2]고합!#REF!</definedName>
    <definedName name="부모">[2]고합!#REF!</definedName>
    <definedName name="부모상여">[43]인상안!#REF!</definedName>
    <definedName name="부모신설">[43]인상안!#REF!</definedName>
    <definedName name="부모통상">[43]인상안!#REF!</definedName>
    <definedName name="부품1" localSheetId="0" hidden="1">{#N/A,#N/A,FALSE,"해외크레임";#N/A,#N/A,FALSE,"ACCENT현황";#N/A,#N/A,FALSE,"AVANTE";#N/A,#N/A,FALSE,"SONATA(3)";#N/A,#N/A,FALSE,"국내크레임"}</definedName>
    <definedName name="부품1" localSheetId="1"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하육성" localSheetId="0">#REF!</definedName>
    <definedName name="부하육성" localSheetId="1">#REF!</definedName>
    <definedName name="부하육성" localSheetId="3">#REF!</definedName>
    <definedName name="부하육성" localSheetId="2">#REF!</definedName>
    <definedName name="부하육성">#REF!</definedName>
    <definedName name="비지니스레터" localSheetId="3">#REF!</definedName>
    <definedName name="비지니스레터" localSheetId="2">#REF!</definedName>
    <definedName name="비지니스레터">#REF!</definedName>
    <definedName name="사업장총괄" localSheetId="3">#REF!</definedName>
    <definedName name="사업장총괄" localSheetId="2">#REF!</definedName>
    <definedName name="사업장총괄">#REF!</definedName>
    <definedName name="사업장총괄2" localSheetId="3">#REF!</definedName>
    <definedName name="사업장총괄2" localSheetId="2">#REF!</definedName>
    <definedName name="사업장총괄2">#REF!</definedName>
    <definedName name="산업기계" localSheetId="3">#REF!</definedName>
    <definedName name="산업기계" localSheetId="2">#REF!</definedName>
    <definedName name="산업기계">#REF!</definedName>
    <definedName name="삼">[33]요약!#REF!</definedName>
    <definedName name="삼기" localSheetId="0">#REF!</definedName>
    <definedName name="삼기">#REF!</definedName>
    <definedName name="삼기여" localSheetId="0">#REF!</definedName>
    <definedName name="삼기여">#REF!</definedName>
    <definedName name="삼기평" localSheetId="0">#REF!</definedName>
    <definedName name="삼기평">#REF!</definedName>
    <definedName name="삼연">#REF!</definedName>
    <definedName name="삼연여">#REF!</definedName>
    <definedName name="삼연평">#REF!</definedName>
    <definedName name="삼통">#REF!</definedName>
    <definedName name="삼통여">#REF!</definedName>
    <definedName name="삼통평">#REF!</definedName>
    <definedName name="상">#REF!</definedName>
    <definedName name="상여">[43]인상안!#REF!</definedName>
    <definedName name="상여부모">[43]인상안!#REF!</definedName>
    <definedName name="상여정액" localSheetId="0">#REF!</definedName>
    <definedName name="상여정액">#REF!</definedName>
    <definedName name="생" localSheetId="0">#REF!</definedName>
    <definedName name="생">#REF!</definedName>
    <definedName name="생기" localSheetId="0">#REF!</definedName>
    <definedName name="생기">#REF!</definedName>
    <definedName name="생기여">#REF!</definedName>
    <definedName name="생기평">#REF!</definedName>
    <definedName name="생산">#REF!</definedName>
    <definedName name="생산전문가" localSheetId="3">#REF!</definedName>
    <definedName name="생산전문가" localSheetId="2">#REF!</definedName>
    <definedName name="생산전문가">#REF!</definedName>
    <definedName name="생연">#REF!</definedName>
    <definedName name="생연여">#REF!</definedName>
    <definedName name="생연평">#REF!</definedName>
    <definedName name="생통">#REF!</definedName>
    <definedName name="생통여">#REF!</definedName>
    <definedName name="생통평">#REF!</definedName>
    <definedName name="서식" localSheetId="3">#REF!</definedName>
    <definedName name="서식" localSheetId="2">#REF!</definedName>
    <definedName name="서식">#REF!</definedName>
    <definedName name="서식임" localSheetId="3">#REF!</definedName>
    <definedName name="서식임" localSheetId="2">#REF!</definedName>
    <definedName name="서식임">#REF!</definedName>
    <definedName name="선">[33]요약!#REF!</definedName>
    <definedName name="선기" localSheetId="0">#REF!</definedName>
    <definedName name="선기">#REF!</definedName>
    <definedName name="선기여" localSheetId="0">#REF!</definedName>
    <definedName name="선기여">#REF!</definedName>
    <definedName name="선기평" localSheetId="0">#REF!</definedName>
    <definedName name="선기평">#REF!</definedName>
    <definedName name="선연">#REF!</definedName>
    <definedName name="선연여">#REF!</definedName>
    <definedName name="선연평">#REF!</definedName>
    <definedName name="선통">#REF!</definedName>
    <definedName name="선통여">#REF!</definedName>
    <definedName name="선통평">#REF!</definedName>
    <definedName name="섬유원료" localSheetId="3">#REF!</definedName>
    <definedName name="섬유원료" localSheetId="2">#REF!</definedName>
    <definedName name="섬유원료">#REF!</definedName>
    <definedName name="성">#REF!</definedName>
    <definedName name="성과" localSheetId="3">[2]고합!#REF!</definedName>
    <definedName name="성과" localSheetId="2">[2]고합!#REF!</definedName>
    <definedName name="성과">[2]고합!#REF!</definedName>
    <definedName name="성과부모">[43]인상안!#REF!</definedName>
    <definedName name="성형PU" localSheetId="0">#REF!</definedName>
    <definedName name="성형PU" localSheetId="1">#REF!</definedName>
    <definedName name="성형PU" localSheetId="3">#REF!</definedName>
    <definedName name="성형PU" localSheetId="2">#REF!</definedName>
    <definedName name="성형PU">#REF!</definedName>
    <definedName name="세부사양" localSheetId="0">[3]대외공문!#REF!</definedName>
    <definedName name="세부사양" localSheetId="1">[3]대외공문!#REF!</definedName>
    <definedName name="세부사양" localSheetId="3">[3]대외공문!#REF!</definedName>
    <definedName name="세부사양" localSheetId="2">[3]대외공문!#REF!</definedName>
    <definedName name="세부사양">[3]대외공문!#REF!</definedName>
    <definedName name="소계" localSheetId="0">#REF!</definedName>
    <definedName name="소계">#REF!</definedName>
    <definedName name="소나타" localSheetId="0" hidden="1">{#N/A,#N/A,FALSE,"100PPM";#N/A,#N/A,FALSE,"3차원대책서";#N/A,#N/A,FALSE,"개선사례"}</definedName>
    <definedName name="소나타" localSheetId="1" hidden="1">{#N/A,#N/A,FALSE,"100PPM";#N/A,#N/A,FALSE,"3차원대책서";#N/A,#N/A,FALSE,"개선사례"}</definedName>
    <definedName name="소나타" hidden="1">{#N/A,#N/A,FALSE,"100PPM";#N/A,#N/A,FALSE,"3차원대책서";#N/A,#N/A,FALSE,"개선사례"}</definedName>
    <definedName name="손실액" localSheetId="0" hidden="1">{#N/A,#N/A,FALSE,"해외크레임";#N/A,#N/A,FALSE,"ACCENT현황";#N/A,#N/A,FALSE,"AVANTE";#N/A,#N/A,FALSE,"SONATA(3)";#N/A,#N/A,FALSE,"국내크레임"}</definedName>
    <definedName name="손실액" localSheetId="1" hidden="1">{#N/A,#N/A,FALSE,"해외크레임";#N/A,#N/A,FALSE,"ACCENT현황";#N/A,#N/A,FALSE,"AVANTE";#N/A,#N/A,FALSE,"SONATA(3)";#N/A,#N/A,FALSE,"국내크레임"}</definedName>
    <definedName name="손실액" hidden="1">{#N/A,#N/A,FALSE,"해외크레임";#N/A,#N/A,FALSE,"ACCENT현황";#N/A,#N/A,FALSE,"AVANTE";#N/A,#N/A,FALSE,"SONATA(3)";#N/A,#N/A,FALSE,"국내크레임"}</definedName>
    <definedName name="수정원가">'[44]07DATA'!$L$2:$M$282</definedName>
    <definedName name="수출입실무" localSheetId="0">#REF!</definedName>
    <definedName name="수출입실무" localSheetId="1">#REF!</definedName>
    <definedName name="수출입실무" localSheetId="3">#REF!</definedName>
    <definedName name="수출입실무" localSheetId="2">#REF!</definedName>
    <definedName name="수출입실무">#REF!</definedName>
    <definedName name="수판" localSheetId="3">#REF!</definedName>
    <definedName name="수판" localSheetId="2">#REF!</definedName>
    <definedName name="수판">#REF!</definedName>
    <definedName name="순기본" localSheetId="3">[45]인상효1!#REF!</definedName>
    <definedName name="순기본" localSheetId="2">[45]인상효1!#REF!</definedName>
    <definedName name="순기본">[45]인상효1!#REF!</definedName>
    <definedName name="승급" localSheetId="0">#REF!</definedName>
    <definedName name="승급">#REF!</definedName>
    <definedName name="승급2" localSheetId="0">#REF!</definedName>
    <definedName name="승급2">#REF!</definedName>
    <definedName name="승급3" localSheetId="0">[46]태광!#REF!</definedName>
    <definedName name="승급3">[46]태광!#REF!</definedName>
    <definedName name="승진심사2" localSheetId="0">#REF!</definedName>
    <definedName name="승진심사2">#REF!</definedName>
    <definedName name="승진심사자료" localSheetId="0">#REF!</definedName>
    <definedName name="승진심사자료">#REF!</definedName>
    <definedName name="시간" localSheetId="0">#REF!</definedName>
    <definedName name="시간">#REF!</definedName>
    <definedName name="신뢰성공학" localSheetId="3">#REF!</definedName>
    <definedName name="신뢰성공학" localSheetId="2">#REF!</definedName>
    <definedName name="신뢰성공학">#REF!</definedName>
    <definedName name="실">#REF!</definedName>
    <definedName name="실적전망" localSheetId="3">#REF!</definedName>
    <definedName name="실적전망" localSheetId="2">#REF!</definedName>
    <definedName name="실적전망">#REF!</definedName>
    <definedName name="실험계획법" localSheetId="3">#REF!</definedName>
    <definedName name="실험계획법" localSheetId="2">#REF!</definedName>
    <definedName name="실험계획법">#REF!</definedName>
    <definedName name="ㅇㄴㄴㅇㅇㅁㄴ" localSheetId="0" hidden="1">{#N/A,#N/A,FALSE,"해외크레임";#N/A,#N/A,FALSE,"ACCENT현황";#N/A,#N/A,FALSE,"AVANTE";#N/A,#N/A,FALSE,"SONATA(3)";#N/A,#N/A,FALSE,"국내크레임"}</definedName>
    <definedName name="ㅇㄴㄴㅇㅇㅁㄴ" localSheetId="1" hidden="1">{#N/A,#N/A,FALSE,"해외크레임";#N/A,#N/A,FALSE,"ACCENT현황";#N/A,#N/A,FALSE,"AVANTE";#N/A,#N/A,FALSE,"SONATA(3)";#N/A,#N/A,FALSE,"국내크레임"}</definedName>
    <definedName name="ㅇㄴㄴㅇㅇㅁㄴ" hidden="1">{#N/A,#N/A,FALSE,"해외크레임";#N/A,#N/A,FALSE,"ACCENT현황";#N/A,#N/A,FALSE,"AVANTE";#N/A,#N/A,FALSE,"SONATA(3)";#N/A,#N/A,FALSE,"국내크레임"}</definedName>
    <definedName name="ㅇㄻㄴㅇㄻㄴ" localSheetId="3">'[3]#REF'!#REF!</definedName>
    <definedName name="ㅇㄻㄴㅇㄻㄴ" localSheetId="2">'[3]#REF'!#REF!</definedName>
    <definedName name="ㅇㄻㄴㅇㄻㄴ">'[3]#REF'!#REF!</definedName>
    <definedName name="ㅇㅇㄴㅇ" localSheetId="0" hidden="1">{#N/A,#N/A,FALSE,"100PPM";#N/A,#N/A,FALSE,"3차원대책서";#N/A,#N/A,FALSE,"개선사례"}</definedName>
    <definedName name="ㅇㅇㄴㅇ" localSheetId="1" hidden="1">{#N/A,#N/A,FALSE,"100PPM";#N/A,#N/A,FALSE,"3차원대책서";#N/A,#N/A,FALSE,"개선사례"}</definedName>
    <definedName name="ㅇㅇㄴㅇ" hidden="1">{#N/A,#N/A,FALSE,"100PPM";#N/A,#N/A,FALSE,"3차원대책서";#N/A,#N/A,FALSE,"개선사례"}</definedName>
    <definedName name="아니" localSheetId="0" hidden="1">{#N/A,#N/A,FALSE,"해외크레임";#N/A,#N/A,FALSE,"ACCENT현황";#N/A,#N/A,FALSE,"AVANTE";#N/A,#N/A,FALSE,"SONATA(3)";#N/A,#N/A,FALSE,"국내크레임"}</definedName>
    <definedName name="아니" localSheetId="1" hidden="1">{#N/A,#N/A,FALSE,"해외크레임";#N/A,#N/A,FALSE,"ACCENT현황";#N/A,#N/A,FALSE,"AVANTE";#N/A,#N/A,FALSE,"SONATA(3)";#N/A,#N/A,FALSE,"국내크레임"}</definedName>
    <definedName name="아니" hidden="1">{#N/A,#N/A,FALSE,"해외크레임";#N/A,#N/A,FALSE,"ACCENT현황";#N/A,#N/A,FALSE,"AVANTE";#N/A,#N/A,FALSE,"SONATA(3)";#N/A,#N/A,FALSE,"국내크레임"}</definedName>
    <definedName name="아폴로" localSheetId="0" hidden="1">{#N/A,#N/A,FALSE,"해외크레임";#N/A,#N/A,FALSE,"ACCENT현황";#N/A,#N/A,FALSE,"AVANTE";#N/A,#N/A,FALSE,"SONATA(3)";#N/A,#N/A,FALSE,"국내크레임"}</definedName>
    <definedName name="아폴로" localSheetId="1"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안양일정" localSheetId="3">[47]비용!#REF!</definedName>
    <definedName name="안양일정" localSheetId="2">[47]비용!#REF!</definedName>
    <definedName name="안양일정">[47]비용!#REF!</definedName>
    <definedName name="어쩌구" localSheetId="3">'[3]#REF'!#REF!</definedName>
    <definedName name="어쩌구" localSheetId="2">'[3]#REF'!#REF!</definedName>
    <definedName name="어쩌구">'[3]#REF'!#REF!</definedName>
    <definedName name="어프" localSheetId="3">'[22]#REF'!#REF!</definedName>
    <definedName name="어프" localSheetId="2">'[22]#REF'!#REF!</definedName>
    <definedName name="어프">'[22]#REF'!#REF!</definedName>
    <definedName name="언양">[16]언양!$I$10:$K$86</definedName>
    <definedName name="여신" localSheetId="0">#REF!</definedName>
    <definedName name="여신" localSheetId="1">#REF!</definedName>
    <definedName name="여신" localSheetId="3">#REF!</definedName>
    <definedName name="여신" localSheetId="2">#REF!</definedName>
    <definedName name="여신">#REF!</definedName>
    <definedName name="여자">#REF!</definedName>
    <definedName name="여자인상전">#REF!</definedName>
    <definedName name="여재" localSheetId="3">#REF!</definedName>
    <definedName name="여재" localSheetId="2">#REF!</definedName>
    <definedName name="여재">#REF!</definedName>
    <definedName name="연구">#REF!</definedName>
    <definedName name="연구개발" localSheetId="3">#REF!</definedName>
    <definedName name="연구개발" localSheetId="2">#REF!</definedName>
    <definedName name="연구개발">#REF!</definedName>
    <definedName name="연동">[46]태광!#REF!</definedName>
    <definedName name="연봉" localSheetId="3">[24]본사인상전!#REF!</definedName>
    <definedName name="연봉" localSheetId="2">[24]본사인상전!#REF!</definedName>
    <definedName name="연봉">[24]본사인상전!#REF!</definedName>
    <definedName name="연봉BASE" localSheetId="0">#REF!</definedName>
    <definedName name="연봉BASE">#REF!</definedName>
    <definedName name="완제추" localSheetId="0" hidden="1">{#N/A,#N/A,FALSE,"해외크레임";#N/A,#N/A,FALSE,"ACCENT현황";#N/A,#N/A,FALSE,"AVANTE";#N/A,#N/A,FALSE,"SONATA(3)";#N/A,#N/A,FALSE,"국내크레임"}</definedName>
    <definedName name="완제추" localSheetId="1" hidden="1">{#N/A,#N/A,FALSE,"해외크레임";#N/A,#N/A,FALSE,"ACCENT현황";#N/A,#N/A,FALSE,"AVANTE";#N/A,#N/A,FALSE,"SONATA(3)";#N/A,#N/A,FALSE,"국내크레임"}</definedName>
    <definedName name="완제추" hidden="1">{#N/A,#N/A,FALSE,"해외크레임";#N/A,#N/A,FALSE,"ACCENT현황";#N/A,#N/A,FALSE,"AVANTE";#N/A,#N/A,FALSE,"SONATA(3)";#N/A,#N/A,FALSE,"국내크레임"}</definedName>
    <definedName name="요약사항" localSheetId="0" hidden="1">{#N/A,#N/A,FALSE,"해외크레임";#N/A,#N/A,FALSE,"ACCENT현황";#N/A,#N/A,FALSE,"AVANTE";#N/A,#N/A,FALSE,"SONATA(3)";#N/A,#N/A,FALSE,"국내크레임"}</definedName>
    <definedName name="요약사항" localSheetId="1" hidden="1">{#N/A,#N/A,FALSE,"해외크레임";#N/A,#N/A,FALSE,"ACCENT현황";#N/A,#N/A,FALSE,"AVANTE";#N/A,#N/A,FALSE,"SONATA(3)";#N/A,#N/A,FALSE,"국내크레임"}</definedName>
    <definedName name="요약사항" hidden="1">{#N/A,#N/A,FALSE,"해외크레임";#N/A,#N/A,FALSE,"ACCENT현황";#N/A,#N/A,FALSE,"AVANTE";#N/A,#N/A,FALSE,"SONATA(3)";#N/A,#N/A,FALSE,"국내크레임"}</definedName>
    <definedName name="용연">[8]용연!$I$10:$K$48</definedName>
    <definedName name="용연1" localSheetId="0">#REF!</definedName>
    <definedName name="용연1" localSheetId="1">#REF!</definedName>
    <definedName name="용연1" localSheetId="3">#REF!</definedName>
    <definedName name="용연1" localSheetId="2">#REF!</definedName>
    <definedName name="용연1">#REF!</definedName>
    <definedName name="울산">[11]울산!$I$10:$K$125</definedName>
    <definedName name="울산관리팀" localSheetId="0">#REF!</definedName>
    <definedName name="울산관리팀" localSheetId="1">#REF!</definedName>
    <definedName name="울산관리팀" localSheetId="3">#REF!</definedName>
    <definedName name="울산관리팀" localSheetId="2">#REF!</definedName>
    <definedName name="울산관리팀">#REF!</definedName>
    <definedName name="원가" localSheetId="3">#REF!</definedName>
    <definedName name="원가" localSheetId="2">#REF!</definedName>
    <definedName name="원가">#REF!</definedName>
    <definedName name="원가절감" localSheetId="3">#REF!</definedName>
    <definedName name="원가절감" localSheetId="2">#REF!</definedName>
    <definedName name="원가절감">#REF!</definedName>
    <definedName name="원가절감2" localSheetId="3">#REF!</definedName>
    <definedName name="원가절감2" localSheetId="2">#REF!</definedName>
    <definedName name="원가절감2">#REF!</definedName>
    <definedName name="원가회계" localSheetId="3">#REF!</definedName>
    <definedName name="원가회계" localSheetId="2">#REF!</definedName>
    <definedName name="원가회계">#REF!</definedName>
    <definedName name="원사원가" localSheetId="3">#REF!</definedName>
    <definedName name="원사원가" localSheetId="2">#REF!</definedName>
    <definedName name="원사원가">#REF!</definedName>
    <definedName name="월정액">#REF!</definedName>
    <definedName name="이경식" localSheetId="3">#REF!</definedName>
    <definedName name="이경식" localSheetId="2">#REF!</definedName>
    <definedName name="이경식">#REF!</definedName>
    <definedName name="이문화" localSheetId="3">#REF!</definedName>
    <definedName name="이문화" localSheetId="2">#REF!</definedName>
    <definedName name="이문화">#REF!</definedName>
    <definedName name="이차" localSheetId="0" hidden="1">{#N/A,#N/A,FALSE,"해외크레임";#N/A,#N/A,FALSE,"ACCENT현황";#N/A,#N/A,FALSE,"AVANTE";#N/A,#N/A,FALSE,"SONATA(3)";#N/A,#N/A,FALSE,"국내크레임"}</definedName>
    <definedName name="이차" localSheetId="1" hidden="1">{#N/A,#N/A,FALSE,"해외크레임";#N/A,#N/A,FALSE,"ACCENT현황";#N/A,#N/A,FALSE,"AVANTE";#N/A,#N/A,FALSE,"SONATA(3)";#N/A,#N/A,FALSE,"국내크레임"}</definedName>
    <definedName name="이차" hidden="1">{#N/A,#N/A,FALSE,"해외크레임";#N/A,#N/A,FALSE,"ACCENT현황";#N/A,#N/A,FALSE,"AVANTE";#N/A,#N/A,FALSE,"SONATA(3)";#N/A,#N/A,FALSE,"국내크레임"}</definedName>
    <definedName name="일" localSheetId="0">#REF!</definedName>
    <definedName name="일">#REF!</definedName>
    <definedName name="일당" localSheetId="0">#REF!</definedName>
    <definedName name="일당">#REF!</definedName>
    <definedName name="임률" localSheetId="0">#REF!</definedName>
    <definedName name="임률">#REF!</definedName>
    <definedName name="임시" localSheetId="0">'[48]04고객별 담당자'!#REF!</definedName>
    <definedName name="임시" localSheetId="1">'[48]04고객별 담당자'!#REF!</definedName>
    <definedName name="임시" localSheetId="3">'[48]04고객별 담당자'!#REF!</definedName>
    <definedName name="임시" localSheetId="2">'[48]04고객별 담당자'!#REF!</definedName>
    <definedName name="임시">'[48]04고객별 담당자'!#REF!</definedName>
    <definedName name="자" localSheetId="0">#REF!</definedName>
    <definedName name="자">#REF!</definedName>
    <definedName name="자녀" localSheetId="0">[2]고합!#REF!</definedName>
    <definedName name="자녀" localSheetId="1">[2]고합!#REF!</definedName>
    <definedName name="자녀" localSheetId="3">[2]고합!#REF!</definedName>
    <definedName name="자녀" localSheetId="2">[2]고합!#REF!</definedName>
    <definedName name="자녀">[2]고합!#REF!</definedName>
    <definedName name="재고">[28]ITEM별생산실적!$C$7:$I$65</definedName>
    <definedName name="저쩌구" localSheetId="0">'[3]#REF'!#REF!</definedName>
    <definedName name="저쩌구" localSheetId="1">'[3]#REF'!#REF!</definedName>
    <definedName name="저쩌구" localSheetId="3">'[3]#REF'!#REF!</definedName>
    <definedName name="저쩌구" localSheetId="2">'[3]#REF'!#REF!</definedName>
    <definedName name="저쩌구">'[3]#REF'!#REF!</definedName>
    <definedName name="전략수립과정" localSheetId="0">#REF!</definedName>
    <definedName name="전략수립과정" localSheetId="1">#REF!</definedName>
    <definedName name="전략수립과정" localSheetId="3">#REF!</definedName>
    <definedName name="전략수립과정" localSheetId="2">#REF!</definedName>
    <definedName name="전략수립과정">#REF!</definedName>
    <definedName name="전략수립전문가" localSheetId="3">#REF!</definedName>
    <definedName name="전략수립전문가" localSheetId="2">#REF!</definedName>
    <definedName name="전략수립전문가">#REF!</definedName>
    <definedName name="전략의사결정" localSheetId="3">#REF!</definedName>
    <definedName name="전략의사결정" localSheetId="2">#REF!</definedName>
    <definedName name="전략의사결정">#REF!</definedName>
    <definedName name="정기" localSheetId="3">[2]고합!#REF!</definedName>
    <definedName name="정기" localSheetId="2">[2]고합!#REF!</definedName>
    <definedName name="정기">[2]고합!#REF!</definedName>
    <definedName name="정액" localSheetId="0">#REF!</definedName>
    <definedName name="정액">#REF!</definedName>
    <definedName name="조립실적" localSheetId="3">'[3]#REF'!#REF!</definedName>
    <definedName name="조립실적" localSheetId="2">'[3]#REF'!#REF!</definedName>
    <definedName name="조립실적">'[3]#REF'!#REF!</definedName>
    <definedName name="조직개발" localSheetId="0">#REF!</definedName>
    <definedName name="조직개발" localSheetId="1">#REF!</definedName>
    <definedName name="조직개발" localSheetId="3">#REF!</definedName>
    <definedName name="조직개발" localSheetId="2">#REF!</definedName>
    <definedName name="조직개발">#REF!</definedName>
    <definedName name="중연">[9]중연!$I$10:$K$48</definedName>
    <definedName name="증" localSheetId="0">[6]Sheet1!#REF!</definedName>
    <definedName name="증" localSheetId="1">[6]Sheet1!#REF!</definedName>
    <definedName name="증" localSheetId="3">[6]Sheet1!#REF!</definedName>
    <definedName name="증" localSheetId="2">[6]Sheet1!#REF!</definedName>
    <definedName name="증">[6]Sheet1!#REF!</definedName>
    <definedName name="지" localSheetId="0">#REF!</definedName>
    <definedName name="지">#REF!</definedName>
    <definedName name="지역" localSheetId="0">[2]고합!#REF!</definedName>
    <definedName name="지역" localSheetId="1">[2]고합!#REF!</definedName>
    <definedName name="지역" localSheetId="3">[2]고합!#REF!</definedName>
    <definedName name="지역" localSheetId="2">[2]고합!#REF!</definedName>
    <definedName name="지역">[2]고합!#REF!</definedName>
    <definedName name="직훈계획" localSheetId="1">[49]교수설계!#REF!</definedName>
    <definedName name="직훈계획" localSheetId="3">[49]교수설계!#REF!</definedName>
    <definedName name="직훈계획" localSheetId="2">[49]교수설계!#REF!</definedName>
    <definedName name="직훈계획">[49]교수설계!#REF!</definedName>
    <definedName name="진천">[7]진천!$I$10:$K$42</definedName>
    <definedName name="차" localSheetId="0" hidden="1">{#N/A,#N/A,FALSE,"해외크레임";#N/A,#N/A,FALSE,"ACCENT현황";#N/A,#N/A,FALSE,"AVANTE";#N/A,#N/A,FALSE,"SONATA(3)";#N/A,#N/A,FALSE,"국내크레임"}</definedName>
    <definedName name="차" localSheetId="1" hidden="1">{#N/A,#N/A,FALSE,"해외크레임";#N/A,#N/A,FALSE,"ACCENT현황";#N/A,#N/A,FALSE,"AVANTE";#N/A,#N/A,FALSE,"SONATA(3)";#N/A,#N/A,FALSE,"국내크레임"}</definedName>
    <definedName name="차" hidden="1">{#N/A,#N/A,FALSE,"해외크레임";#N/A,#N/A,FALSE,"ACCENT현황";#N/A,#N/A,FALSE,"AVANTE";#N/A,#N/A,FALSE,"SONATA(3)";#N/A,#N/A,FALSE,"국내크레임"}</definedName>
    <definedName name="창의력개발" localSheetId="0">#REF!</definedName>
    <definedName name="창의력개발" localSheetId="1">#REF!</definedName>
    <definedName name="창의력개발" localSheetId="3">#REF!</definedName>
    <definedName name="창의력개발" localSheetId="2">#REF!</definedName>
    <definedName name="창의력개발">#REF!</definedName>
    <definedName name="채권관리" localSheetId="3">#REF!</definedName>
    <definedName name="채권관리" localSheetId="2">#REF!</definedName>
    <definedName name="채권관리">#REF!</definedName>
    <definedName name="채권관리응용" localSheetId="3">#REF!</definedName>
    <definedName name="채권관리응용" localSheetId="2">#REF!</definedName>
    <definedName name="채권관리응용">#REF!</definedName>
    <definedName name="총원">'[50]220 (2)'!$A$7:$M$226</definedName>
    <definedName name="최종B" localSheetId="0">#REF!</definedName>
    <definedName name="최종B" localSheetId="1">#REF!</definedName>
    <definedName name="최종B" localSheetId="3">#REF!</definedName>
    <definedName name="최종B" localSheetId="2">#REF!</definedName>
    <definedName name="최종B">#REF!</definedName>
    <definedName name="추정손익" localSheetId="1">#REF!</definedName>
    <definedName name="추정손익" localSheetId="3">#REF!</definedName>
    <definedName name="추정손익" localSheetId="2">#REF!</definedName>
    <definedName name="추정손익">#REF!</definedName>
    <definedName name="출납">#REF!</definedName>
    <definedName name="커뮤니케이션" localSheetId="3">#REF!</definedName>
    <definedName name="커뮤니케이션" localSheetId="2">#REF!</definedName>
    <definedName name="커뮤니케이션">#REF!</definedName>
    <definedName name="컴퓨터기획" localSheetId="3">#REF!</definedName>
    <definedName name="컴퓨터기획" localSheetId="2">#REF!</definedName>
    <definedName name="컴퓨터기획">#REF!</definedName>
    <definedName name="코">[33]요약!#REF!</definedName>
    <definedName name="코기" localSheetId="0">#REF!</definedName>
    <definedName name="코기">#REF!</definedName>
    <definedName name="코기여" localSheetId="0">#REF!</definedName>
    <definedName name="코기여">#REF!</definedName>
    <definedName name="코기평" localSheetId="0">#REF!</definedName>
    <definedName name="코기평">#REF!</definedName>
    <definedName name="코연">#REF!</definedName>
    <definedName name="코연여">#REF!</definedName>
    <definedName name="코연평">#REF!</definedName>
    <definedName name="코통">#REF!</definedName>
    <definedName name="코통여">#REF!</definedName>
    <definedName name="코통평">#REF!</definedName>
    <definedName name="클레임" localSheetId="3">#REF!</definedName>
    <definedName name="클레임" localSheetId="2">#REF!</definedName>
    <definedName name="클레임">#REF!</definedName>
    <definedName name="키프코" localSheetId="0" hidden="1">{#N/A,#N/A,FALSE,"해외크레임";#N/A,#N/A,FALSE,"ACCENT현황";#N/A,#N/A,FALSE,"AVANTE";#N/A,#N/A,FALSE,"SONATA(3)";#N/A,#N/A,FALSE,"국내크레임"}</definedName>
    <definedName name="키프코" localSheetId="1" hidden="1">{#N/A,#N/A,FALSE,"해외크레임";#N/A,#N/A,FALSE,"ACCENT현황";#N/A,#N/A,FALSE,"AVANTE";#N/A,#N/A,FALSE,"SONATA(3)";#N/A,#N/A,FALSE,"국내크레임"}</definedName>
    <definedName name="키프코" hidden="1">{#N/A,#N/A,FALSE,"해외크레임";#N/A,#N/A,FALSE,"ACCENT현황";#N/A,#N/A,FALSE,"AVANTE";#N/A,#N/A,FALSE,"SONATA(3)";#N/A,#N/A,FALSE,"국내크레임"}</definedName>
    <definedName name="태">[33]요약!#REF!</definedName>
    <definedName name="태기" localSheetId="0">#REF!</definedName>
    <definedName name="태기">#REF!</definedName>
    <definedName name="태기여" localSheetId="0">#REF!</definedName>
    <definedName name="태기여">#REF!</definedName>
    <definedName name="태기평" localSheetId="0">#REF!</definedName>
    <definedName name="태기평">#REF!</definedName>
    <definedName name="태연">#REF!</definedName>
    <definedName name="태연여">#REF!</definedName>
    <definedName name="태연평">#REF!</definedName>
    <definedName name="태통">#REF!</definedName>
    <definedName name="태통여">#REF!</definedName>
    <definedName name="태통평">#REF!</definedName>
    <definedName name="통상급">#REF!</definedName>
    <definedName name="통상급BASE">#REF!</definedName>
    <definedName name="통상임금">#REF!</definedName>
    <definedName name="투자실적">[17]대구!$I$10:$K$45</definedName>
    <definedName name="트랜스월드" localSheetId="0">#REF!</definedName>
    <definedName name="트랜스월드" localSheetId="1">#REF!</definedName>
    <definedName name="트랜스월드" localSheetId="3">#REF!</definedName>
    <definedName name="트랜스월드" localSheetId="2">#REF!</definedName>
    <definedName name="트랜스월드">#REF!</definedName>
    <definedName name="특허기본" localSheetId="3">#REF!</definedName>
    <definedName name="특허기본" localSheetId="2">#REF!</definedName>
    <definedName name="특허기본">#REF!</definedName>
    <definedName name="팀비젼창출" localSheetId="3">#REF!</definedName>
    <definedName name="팀비젼창출" localSheetId="2">#REF!</definedName>
    <definedName name="팀비젼창출">#REF!</definedName>
    <definedName name="팀장">#REF!</definedName>
    <definedName name="표지" localSheetId="3">#REF!</definedName>
    <definedName name="표지" localSheetId="2">#REF!</definedName>
    <definedName name="표지">#REF!</definedName>
    <definedName name="품질관리일반" localSheetId="3">#REF!</definedName>
    <definedName name="품질관리일반" localSheetId="2">#REF!</definedName>
    <definedName name="품질관리일반">#REF!</definedName>
    <definedName name="프리젠테이션" localSheetId="3">#REF!</definedName>
    <definedName name="프리젠테이션" localSheetId="2">#REF!</definedName>
    <definedName name="프리젠테이션">#REF!</definedName>
    <definedName name="ㅎㄹ">[51]고합!#REF!</definedName>
    <definedName name="ㅎㅎ" localSheetId="3">[6]Sheet1!#REF!</definedName>
    <definedName name="ㅎㅎ" localSheetId="2">[6]Sheet1!#REF!</definedName>
    <definedName name="ㅎㅎ">[6]Sheet1!#REF!</definedName>
    <definedName name="하" localSheetId="3">[3]경쟁실분!#REF!</definedName>
    <definedName name="하" localSheetId="2">[3]경쟁실분!#REF!</definedName>
    <definedName name="하">[3]경쟁실분!#REF!</definedName>
    <definedName name="합계" localSheetId="0">#REF!</definedName>
    <definedName name="합계" localSheetId="1">#REF!</definedName>
    <definedName name="합계" localSheetId="3">#REF!</definedName>
    <definedName name="합계" localSheetId="2">#REF!</definedName>
    <definedName name="합계">#REF!</definedName>
    <definedName name="허" localSheetId="0">'[3]2.대외공문'!#REF!</definedName>
    <definedName name="허" localSheetId="1">'[3]2.대외공문'!#REF!</definedName>
    <definedName name="허" localSheetId="3">'[3]2.대외공문'!#REF!</definedName>
    <definedName name="허" localSheetId="2">'[3]2.대외공문'!#REF!</definedName>
    <definedName name="허">'[3]2.대외공문'!#REF!</definedName>
    <definedName name="현대석유" localSheetId="0">'[52]T&amp;C'!#REF!</definedName>
    <definedName name="현대석유">'[52]T&amp;C'!#REF!</definedName>
    <definedName name="현재1갑">'[53]1급갑'!$B$1:$B$65536</definedName>
    <definedName name="협상능력" localSheetId="0">#REF!</definedName>
    <definedName name="협상능력" localSheetId="1">#REF!</definedName>
    <definedName name="협상능력" localSheetId="3">#REF!</definedName>
    <definedName name="협상능력" localSheetId="2">#REF!</definedName>
    <definedName name="협상능력">#REF!</definedName>
    <definedName name="호봉">#REF!</definedName>
    <definedName name="환경">#REF!</definedName>
    <definedName name="환경1">#REF!</definedName>
    <definedName name="환경2">#REF!</definedName>
    <definedName name="환경확대">#REF!</definedName>
    <definedName name="환입불량" localSheetId="0" hidden="1">{#N/A,#N/A,FALSE,"해외크레임";#N/A,#N/A,FALSE,"ACCENT현황";#N/A,#N/A,FALSE,"AVANTE";#N/A,#N/A,FALSE,"SONATA(3)";#N/A,#N/A,FALSE,"국내크레임"}</definedName>
    <definedName name="환입불량" localSheetId="1" hidden="1">{#N/A,#N/A,FALSE,"해외크레임";#N/A,#N/A,FALSE,"ACCENT현황";#N/A,#N/A,FALSE,"AVANTE";#N/A,#N/A,FALSE,"SONATA(3)";#N/A,#N/A,FALSE,"국내크레임"}</definedName>
    <definedName name="환입불량" hidden="1">{#N/A,#N/A,FALSE,"해외크레임";#N/A,#N/A,FALSE,"ACCENT현황";#N/A,#N/A,FALSE,"AVANTE";#N/A,#N/A,FALSE,"SONATA(3)";#N/A,#N/A,FALSE,"국내크레임"}</definedName>
    <definedName name="효성Ｔ____Ｃ">'[54]타사비교(13년)'!#REF!</definedName>
    <definedName name="휴" localSheetId="0">#REF!</definedName>
    <definedName name="휴">#REF!</definedName>
    <definedName name="휴가" localSheetId="3">[2]고합!#REF!</definedName>
    <definedName name="휴가" localSheetId="2">[2]고합!#REF!</definedName>
    <definedName name="휴가">[2]고합!#REF!</definedName>
    <definedName name="휴가비" localSheetId="0">#REF!</definedName>
    <definedName name="휴가비">#REF!</definedName>
    <definedName name="휴비스">'[52]T&amp;C'!#REF!</definedName>
    <definedName name="ㅏㅏ" localSheetId="3">'[3]#REF'!#REF!</definedName>
    <definedName name="ㅏㅏ" localSheetId="2">'[3]#REF'!#REF!</definedName>
    <definedName name="ㅏㅏ">'[3]#REF'!#REF!</definedName>
    <definedName name="ㅓㅓ" localSheetId="3">'[3]#REF'!#REF!</definedName>
    <definedName name="ㅓㅓ" localSheetId="2">'[3]#REF'!#REF!</definedName>
    <definedName name="ㅓㅓ">'[3]#REF'!#REF!</definedName>
    <definedName name="ㅕ" localSheetId="3">[2]일급제인원실적!#REF!</definedName>
    <definedName name="ㅕ" localSheetId="2">[2]일급제인원실적!#REF!</definedName>
    <definedName name="ㅕ">[2]일급제인원실적!#REF!</definedName>
    <definedName name="ㅗㅗ" localSheetId="3">[3]그패프!#REF!</definedName>
    <definedName name="ㅗㅗ" localSheetId="2">[3]그패프!#REF!</definedName>
    <definedName name="ㅗㅗ">[3]그패프!#REF!</definedName>
    <definedName name="ㅛㅛ" localSheetId="3">'[3]#REF'!#REF!</definedName>
    <definedName name="ㅛㅛ" localSheetId="2">'[3]#REF'!#REF!</definedName>
    <definedName name="ㅛㅛ">'[3]#REF'!#REF!</definedName>
    <definedName name="ㅜㅜ" localSheetId="3">'[3]#REF'!#REF!</definedName>
    <definedName name="ㅜㅜ" localSheetId="2">'[3]#REF'!#REF!</definedName>
    <definedName name="ㅜㅜ">'[3]#REF'!#REF!</definedName>
    <definedName name="ㅜㅜㅜ" localSheetId="3">'[3]#REF'!#REF!</definedName>
    <definedName name="ㅜㅜㅜ" localSheetId="2">'[3]#REF'!#REF!</definedName>
    <definedName name="ㅜㅜㅜ">'[3]#REF'!#REF!</definedName>
    <definedName name="ㅜㅜㅜㅜ" localSheetId="3">[3]경쟁실분!#REF!</definedName>
    <definedName name="ㅜㅜㅜㅜ" localSheetId="2">[3]경쟁실분!#REF!</definedName>
    <definedName name="ㅜㅜㅜㅜ">[3]경쟁실분!#REF!</definedName>
    <definedName name="ㅜㅜㅜㅜㅜ" localSheetId="3">'[3]#REF'!#REF!</definedName>
    <definedName name="ㅜㅜㅜㅜㅜ" localSheetId="2">'[3]#REF'!#REF!</definedName>
    <definedName name="ㅜㅜㅜㅜㅜ">'[3]#REF'!#REF!</definedName>
    <definedName name="ㅜㅜㅜㅜㅜㅜㅜㅜ" localSheetId="3">[3]협조전!#REF!</definedName>
    <definedName name="ㅜㅜㅜㅜㅜㅜㅜㅜ" localSheetId="2">[3]협조전!#REF!</definedName>
    <definedName name="ㅜㅜㅜㅜㅜㅜㅜㅜ">[3]협조전!#REF!</definedName>
    <definedName name="ㅜㅜㅜㅜㅜㅜㅜㅜㅜㅜ" localSheetId="3">[3]협조전!#REF!</definedName>
    <definedName name="ㅜㅜㅜㅜㅜㅜㅜㅜㅜㅜ" localSheetId="2">[3]협조전!#REF!</definedName>
    <definedName name="ㅜㅜㅜㅜㅜㅜㅜㅜㅜㅜ">[3]협조전!#REF!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21" l="1"/>
  <c r="C45" i="21" s="1"/>
  <c r="D36" i="21"/>
  <c r="C36" i="21" s="1"/>
  <c r="D27" i="21"/>
  <c r="C27" i="21" s="1"/>
  <c r="D19" i="21"/>
  <c r="C19" i="21" s="1"/>
  <c r="D11" i="21"/>
  <c r="C11" i="21" s="1"/>
  <c r="D39" i="8" l="1"/>
  <c r="D37" i="8"/>
  <c r="D29" i="8"/>
  <c r="J33" i="15" l="1"/>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24" i="15"/>
  <c r="J25" i="15"/>
  <c r="J26" i="15"/>
  <c r="J27" i="15"/>
  <c r="J31" i="15"/>
  <c r="J23" i="15"/>
  <c r="D367" i="15"/>
  <c r="D368" i="15"/>
  <c r="D369" i="15"/>
  <c r="D370" i="15"/>
  <c r="D371"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F14" i="17"/>
  <c r="E14" i="17"/>
  <c r="D14" i="17"/>
  <c r="F13" i="17"/>
  <c r="E13" i="17"/>
  <c r="D13" i="17"/>
  <c r="F12" i="17"/>
  <c r="E12" i="17"/>
  <c r="D12" i="17"/>
  <c r="F9" i="17"/>
  <c r="F10" i="17"/>
  <c r="D30" i="8"/>
  <c r="D27" i="8" s="1"/>
  <c r="E8" i="17" s="1"/>
  <c r="E9" i="17"/>
  <c r="E10" i="17"/>
  <c r="D9" i="17"/>
  <c r="D10" i="17"/>
  <c r="E11" i="17" l="1"/>
  <c r="D7" i="17"/>
  <c r="D20" i="17"/>
  <c r="D19" i="17"/>
  <c r="D8" i="8"/>
  <c r="D11" i="17" s="1"/>
  <c r="D5" i="8" l="1"/>
  <c r="D8" i="17" s="1"/>
  <c r="J8" i="15"/>
  <c r="J9" i="15"/>
  <c r="J10" i="15"/>
  <c r="J11" i="15"/>
  <c r="J12" i="15"/>
  <c r="J13" i="15"/>
  <c r="J14" i="15"/>
  <c r="J15" i="15"/>
  <c r="J16" i="15"/>
  <c r="J17" i="15"/>
  <c r="J18" i="15"/>
  <c r="J19" i="15"/>
  <c r="D27" i="17"/>
  <c r="J7" i="15"/>
  <c r="J6" i="15"/>
  <c r="J5" i="15"/>
  <c r="D26" i="17" s="1"/>
  <c r="E29" i="8"/>
  <c r="G10" i="17" s="1"/>
  <c r="E28" i="8"/>
  <c r="G9" i="17" s="1"/>
  <c r="E45" i="8"/>
  <c r="E44" i="8"/>
  <c r="E43" i="8"/>
  <c r="E42" i="8"/>
  <c r="E41" i="8"/>
  <c r="E40" i="8"/>
  <c r="E39" i="8"/>
  <c r="D25" i="17" s="1"/>
  <c r="E38" i="8"/>
  <c r="E37" i="8"/>
  <c r="E36" i="8"/>
  <c r="E35" i="8"/>
  <c r="E34" i="8"/>
  <c r="D28" i="17" s="1"/>
  <c r="E33" i="8"/>
  <c r="G14" i="17" s="1"/>
  <c r="E32" i="8"/>
  <c r="G13" i="17" s="1"/>
  <c r="E31" i="8"/>
  <c r="G12" i="17" s="1"/>
  <c r="E8" i="8"/>
  <c r="F11" i="17" s="1"/>
  <c r="E5" i="8" l="1"/>
  <c r="F8" i="17" s="1"/>
  <c r="E30" i="8"/>
  <c r="G11" i="17" s="1"/>
  <c r="E27" i="8" l="1"/>
  <c r="G8" i="17" s="1"/>
</calcChain>
</file>

<file path=xl/sharedStrings.xml><?xml version="1.0" encoding="utf-8"?>
<sst xmlns="http://schemas.openxmlformats.org/spreadsheetml/2006/main" count="2475" uniqueCount="1298">
  <si>
    <t>Management</t>
    <phoneticPr fontId="2" type="noConversion"/>
  </si>
  <si>
    <t>GHG Emissions</t>
    <phoneticPr fontId="2" type="noConversion"/>
  </si>
  <si>
    <t>Scope</t>
    <phoneticPr fontId="2" type="noConversion"/>
  </si>
  <si>
    <t>Scope 1</t>
    <phoneticPr fontId="2" type="noConversion"/>
  </si>
  <si>
    <t>Scope 2</t>
    <phoneticPr fontId="2" type="noConversion"/>
  </si>
  <si>
    <t>Scope 3</t>
    <phoneticPr fontId="2" type="noConversion"/>
  </si>
  <si>
    <t>Category</t>
    <phoneticPr fontId="2" type="noConversion"/>
  </si>
  <si>
    <t>Total</t>
    <phoneticPr fontId="2" type="noConversion"/>
  </si>
  <si>
    <t>Catergory 1</t>
    <phoneticPr fontId="2" type="noConversion"/>
  </si>
  <si>
    <t>Catergory 2</t>
  </si>
  <si>
    <t>Catergory 3</t>
  </si>
  <si>
    <t>Catergory 4</t>
  </si>
  <si>
    <t>Catergory 5</t>
  </si>
  <si>
    <t>Catergory 6</t>
  </si>
  <si>
    <t>Catergory 7</t>
  </si>
  <si>
    <t>Catergory 8</t>
  </si>
  <si>
    <t>Catergory 9</t>
  </si>
  <si>
    <t>Catergory 10</t>
  </si>
  <si>
    <t>Catergory 11</t>
  </si>
  <si>
    <t>Catergory 12</t>
  </si>
  <si>
    <t>Catergory 13</t>
  </si>
  <si>
    <t>Catergory 14</t>
  </si>
  <si>
    <t>Catergory 15</t>
  </si>
  <si>
    <t>1. GHG Emssions target</t>
    <phoneticPr fontId="2" type="noConversion"/>
  </si>
  <si>
    <t>2. Net zero target</t>
    <phoneticPr fontId="2" type="noConversion"/>
  </si>
  <si>
    <t>3. RE100 Target</t>
    <phoneticPr fontId="2" type="noConversion"/>
  </si>
  <si>
    <t>Type</t>
    <phoneticPr fontId="2" type="noConversion"/>
  </si>
  <si>
    <t>Renewable power</t>
    <phoneticPr fontId="2" type="noConversion"/>
  </si>
  <si>
    <t>2. Emissions for the production of products supplied to SBL</t>
    <phoneticPr fontId="2" type="noConversion"/>
  </si>
  <si>
    <t>1. Emissions for the production</t>
    <phoneticPr fontId="2" type="noConversion"/>
  </si>
  <si>
    <t>No</t>
    <phoneticPr fontId="2" type="noConversion"/>
  </si>
  <si>
    <t>Product code(Vendor)</t>
    <phoneticPr fontId="2" type="noConversion"/>
  </si>
  <si>
    <t>Chemical_prods</t>
  </si>
  <si>
    <t>All other chemical product and preparation manufacturing</t>
  </si>
  <si>
    <t>Selection options : USEEIO Commodities</t>
    <phoneticPr fontId="2" type="noConversion"/>
  </si>
  <si>
    <t>Category 1</t>
    <phoneticPr fontId="2" type="noConversion"/>
  </si>
  <si>
    <t>Category 2</t>
    <phoneticPr fontId="2" type="noConversion"/>
  </si>
  <si>
    <t>Farms</t>
  </si>
  <si>
    <t>Animal production, except cattle and poultry and eggs</t>
  </si>
  <si>
    <t>Alcoholic_beverages</t>
    <phoneticPr fontId="2" type="noConversion"/>
  </si>
  <si>
    <t>Beef cattle ranching and farming, including feedlots and dual-purpose ranching and farming</t>
  </si>
  <si>
    <t>Animal_food_mfg</t>
  </si>
  <si>
    <t>Dairy cattle and milk production</t>
  </si>
  <si>
    <t>Animal_slaughtering_proc</t>
    <phoneticPr fontId="2" type="noConversion"/>
  </si>
  <si>
    <t>Fruit and tree nut farming</t>
  </si>
  <si>
    <t>Bakeries_tortilla_mfg</t>
    <phoneticPr fontId="2" type="noConversion"/>
  </si>
  <si>
    <t>Grain farming</t>
  </si>
  <si>
    <t>Greenhouse, nursery, and floriculture production</t>
  </si>
  <si>
    <t>Computer_and_electronic_product_mfg</t>
  </si>
  <si>
    <t>Oilseed farming</t>
  </si>
  <si>
    <t>Construction</t>
  </si>
  <si>
    <t>Other crop farming</t>
  </si>
  <si>
    <t>Dairy_prods</t>
  </si>
  <si>
    <t>Poultry and egg production</t>
  </si>
  <si>
    <t>Electrical_equipment_appliance_and_component_mfg</t>
    <phoneticPr fontId="2" type="noConversion"/>
  </si>
  <si>
    <t>Support activities for agriculture and forestry</t>
  </si>
  <si>
    <t>Electricity</t>
  </si>
  <si>
    <t>Vegetable and melon farming</t>
  </si>
  <si>
    <t>Fabricated_metal_product_mfg</t>
  </si>
  <si>
    <t>Commercial structures, including farm structures</t>
  </si>
  <si>
    <t>Educational and vocational structures</t>
  </si>
  <si>
    <t>Fruit_Vegetable_preserving</t>
    <phoneticPr fontId="2" type="noConversion"/>
  </si>
  <si>
    <t>Health care structures</t>
  </si>
  <si>
    <t>Furniture_related_prods</t>
    <phoneticPr fontId="2" type="noConversion"/>
  </si>
  <si>
    <t>Highways and streets</t>
  </si>
  <si>
    <t>Grain_oilseed_milling</t>
    <phoneticPr fontId="2" type="noConversion"/>
  </si>
  <si>
    <t>Manufacturing structures</t>
  </si>
  <si>
    <t>Machinery_mfg</t>
  </si>
  <si>
    <t>Multifamily residential structures</t>
  </si>
  <si>
    <t>Mining_exc_oil_gas</t>
    <phoneticPr fontId="2" type="noConversion"/>
  </si>
  <si>
    <t>Nonresidential maintenance and repair</t>
  </si>
  <si>
    <t>Miscellaneous_mfg</t>
  </si>
  <si>
    <t>Other nonresidential structures</t>
  </si>
  <si>
    <t>Motor_vehicles_bodies_trailers_parts</t>
    <phoneticPr fontId="2" type="noConversion"/>
  </si>
  <si>
    <t>Other residential structures</t>
  </si>
  <si>
    <t>Nonmetallic_mineral_prods</t>
  </si>
  <si>
    <t>Power and communication structures</t>
  </si>
  <si>
    <t>Oil_gas_extraction</t>
    <phoneticPr fontId="2" type="noConversion"/>
  </si>
  <si>
    <t>Residential maintenance and repair</t>
  </si>
  <si>
    <t>Other_food_mfg</t>
  </si>
  <si>
    <t>Single-family residential structures</t>
  </si>
  <si>
    <t>Other_petroleum_coal_prods</t>
    <phoneticPr fontId="2" type="noConversion"/>
  </si>
  <si>
    <t>Electric power generation, transmission, and distribution</t>
  </si>
  <si>
    <t>Other_transport_equip</t>
  </si>
  <si>
    <t>Alcoholic beverages</t>
  </si>
  <si>
    <t>Breweries</t>
  </si>
  <si>
    <t>Paper_products</t>
  </si>
  <si>
    <t>Distilleries</t>
  </si>
  <si>
    <t>Petroleum_refineries</t>
  </si>
  <si>
    <t>Wineries</t>
  </si>
  <si>
    <t>Plastics_rubber_prods</t>
    <phoneticPr fontId="2" type="noConversion"/>
  </si>
  <si>
    <t>Animal food mfg</t>
  </si>
  <si>
    <t>Dog and cat food manufacturing</t>
  </si>
  <si>
    <t>Primary_metals</t>
  </si>
  <si>
    <t>Other animal food manufacturing</t>
  </si>
  <si>
    <t>Printing_related_support_activities</t>
    <phoneticPr fontId="2" type="noConversion"/>
  </si>
  <si>
    <t>Animal slaughtering &amp; proc</t>
  </si>
  <si>
    <t>Animal (except poultry) slaughtering, rendering, and processing</t>
  </si>
  <si>
    <t>Seafood_product_prep_packaging</t>
    <phoneticPr fontId="2" type="noConversion"/>
  </si>
  <si>
    <t>Poultry processing</t>
  </si>
  <si>
    <t>Soft_drink_ice_mfg</t>
    <phoneticPr fontId="2" type="noConversion"/>
  </si>
  <si>
    <t>Bakeries &amp; tortilla mfg</t>
  </si>
  <si>
    <t>Bread and bakery product manufacturing</t>
  </si>
  <si>
    <t>Sugar_confectionery_product_mfg</t>
    <phoneticPr fontId="2" type="noConversion"/>
  </si>
  <si>
    <t>Cookie, cracker, pasta, and tortilla manufacturing</t>
  </si>
  <si>
    <t>Textile_mills_apparel</t>
    <phoneticPr fontId="2" type="noConversion"/>
  </si>
  <si>
    <t>Dairy prods</t>
  </si>
  <si>
    <t>Cheese manufacturing</t>
  </si>
  <si>
    <t>Tobacco_product_mfg</t>
  </si>
  <si>
    <t>Dry, condensed, and evaporated dairy product manufacturing</t>
  </si>
  <si>
    <t>Wood_prods</t>
  </si>
  <si>
    <t>Fluid milk and butter manufacturing</t>
  </si>
  <si>
    <t>Ice cream and frozen dessert manufacturing</t>
  </si>
  <si>
    <t>Fruit &amp; Vegetable preserving</t>
  </si>
  <si>
    <t>Frozen food manufacturing</t>
  </si>
  <si>
    <t>Fruit and vegetable canning, pickling, and drying</t>
  </si>
  <si>
    <t>Grain &amp; oilseed milling</t>
  </si>
  <si>
    <t>Breakfast cereal manufacturing</t>
  </si>
  <si>
    <t>Fats and oils refining and blending</t>
  </si>
  <si>
    <t>Flour milling and malt manufacturing</t>
  </si>
  <si>
    <t>Soybean and other oilseed processing</t>
  </si>
  <si>
    <t>Wet corn milling</t>
  </si>
  <si>
    <t>Other food mfg</t>
  </si>
  <si>
    <t>All other food manufacturing</t>
  </si>
  <si>
    <t>Coffee and tea manufacturing</t>
  </si>
  <si>
    <t>Flavoring syrup and concentrate manufacturing</t>
  </si>
  <si>
    <t>Seasoning and dressing manufacturing</t>
  </si>
  <si>
    <t>Snack food manufacturing</t>
  </si>
  <si>
    <t>Seafood product prep &amp; packaging</t>
  </si>
  <si>
    <t>Seafood product preparation and packaging</t>
  </si>
  <si>
    <t>Soft drink &amp; ice mfg</t>
  </si>
  <si>
    <t>Soft drink and ice manufacturing</t>
  </si>
  <si>
    <t>Sugar &amp; confectionery product mfg</t>
  </si>
  <si>
    <t>Sugar and confectionery product manufacturing</t>
  </si>
  <si>
    <t>Chemical prods</t>
  </si>
  <si>
    <t>Adhesive manufacturing</t>
  </si>
  <si>
    <t>Biological product (except diagnostic) manufacturing</t>
  </si>
  <si>
    <t>Fertilizer manufacturing</t>
  </si>
  <si>
    <t>Industrial gas manufacturing</t>
  </si>
  <si>
    <t>In-vitro diagnostic substance manufacturing</t>
  </si>
  <si>
    <t>Medicinal and botanical manufacturing</t>
  </si>
  <si>
    <t>Other basic inorganic chemical manufacturing</t>
  </si>
  <si>
    <t>Other basic organic chemical manufacturing</t>
  </si>
  <si>
    <t>Paint and coating manufacturing</t>
  </si>
  <si>
    <t>Pesticide and other agricultural chemical manufacturing</t>
  </si>
  <si>
    <t>Petrochemical manufacturing</t>
  </si>
  <si>
    <t>Pharmaceutical preparation manufacturing</t>
  </si>
  <si>
    <t>Plastics material and resin manufacturing</t>
  </si>
  <si>
    <t>Printing ink manufacturing</t>
  </si>
  <si>
    <t>Soap and cleaning compound manufacturing</t>
  </si>
  <si>
    <t>Synthetic dye and pigment manufacturing</t>
  </si>
  <si>
    <t>Synthetic rubber and artificial and synthetic fibers and filaments manufacturing</t>
  </si>
  <si>
    <t>Toilet preparation manufacturing</t>
  </si>
  <si>
    <t>Computer and electronic product mfg</t>
  </si>
  <si>
    <t>Analytical laboratory instrument manufacturing</t>
  </si>
  <si>
    <t>Audio and video equipment manufacturing</t>
  </si>
  <si>
    <t>Automatic environmental control manufacturing</t>
  </si>
  <si>
    <t>Broadcast and wireless communications equipment</t>
  </si>
  <si>
    <t>Computer storage device manufacturing</t>
  </si>
  <si>
    <t>Computer terminals and other computer peripheral equipment manufacturing</t>
  </si>
  <si>
    <t>Electricity and signal testing instruments manufacturing</t>
  </si>
  <si>
    <t>Electromedical and electrotherapeutic apparatus manufacturing</t>
  </si>
  <si>
    <t>Electronic computer manufacturing</t>
  </si>
  <si>
    <t>Industrial process variable instruments manufacturing</t>
  </si>
  <si>
    <t>Irradiation apparatus manufacturing</t>
  </si>
  <si>
    <t>Manufacturing and reproducing magnetic and optical media</t>
  </si>
  <si>
    <t>Other communications equipment manufacturing</t>
  </si>
  <si>
    <t>Other electronic component manufacturing</t>
  </si>
  <si>
    <t>Printed circuit assembly (electronic assembly) manufacturing</t>
  </si>
  <si>
    <t>Search, detection, and navigation instruments manufacturing</t>
  </si>
  <si>
    <t>Semiconductor and related device manufacturing</t>
  </si>
  <si>
    <t>Telephone apparatus manufacturing</t>
  </si>
  <si>
    <t>Totalizing fluid meter and counting device manufacturing</t>
  </si>
  <si>
    <t>Watch, clock, and other measuring and controlling device manufacturing</t>
  </si>
  <si>
    <t>Electrical equipment, appliance, and component mfg</t>
  </si>
  <si>
    <t>All other miscellaneous electrical equipment and component manufacturing</t>
  </si>
  <si>
    <t>Carbon and graphite product manufacturing</t>
  </si>
  <si>
    <t>Communication and energy wire and cable manufacturing</t>
  </si>
  <si>
    <t>Electric lamp bulb and part manufacturing</t>
  </si>
  <si>
    <t>Household cooking appliance manufacturing</t>
  </si>
  <si>
    <t>Household laundry equipment manufacturing</t>
  </si>
  <si>
    <t>Household refrigerator and home freezer manufacturing</t>
  </si>
  <si>
    <t>Lighting fixture manufacturing</t>
  </si>
  <si>
    <t>Motor and generator manufacturing</t>
  </si>
  <si>
    <t>Other major household appliance manufacturing</t>
  </si>
  <si>
    <t>Power, distribution, and specialty transformer manufacturing</t>
  </si>
  <si>
    <t>Primary battery manufacturing</t>
  </si>
  <si>
    <t>Relay and industrial control manufacturing</t>
  </si>
  <si>
    <t>Small electrical appliance manufacturing</t>
  </si>
  <si>
    <t>Storage battery manufacturing</t>
  </si>
  <si>
    <t>Switchgear and switchboard apparatus manufacturing</t>
  </si>
  <si>
    <t>Wiring device manufacturing</t>
  </si>
  <si>
    <t>Fabricated metal product mfg</t>
  </si>
  <si>
    <t>All other forging, stamping, and sintering</t>
  </si>
  <si>
    <t>Ammunition, arms, ordnance, and accessories manufacturing</t>
  </si>
  <si>
    <t>Ball and roller bearing manufacturing</t>
  </si>
  <si>
    <t>Coating, engraving, heat treating and allied activities</t>
  </si>
  <si>
    <t>Crown and closure manufacturing and metal stamping</t>
  </si>
  <si>
    <t>Custom roll forming</t>
  </si>
  <si>
    <t>Cutlery and handtool manufacturing</t>
  </si>
  <si>
    <t>Fabricated pipe and pipe fitting manufacturing</t>
  </si>
  <si>
    <t>Hardware manufacturing</t>
  </si>
  <si>
    <t>Machine shops</t>
  </si>
  <si>
    <t>Metal can, box, and other metal container (light gauge) manufacturing</t>
  </si>
  <si>
    <t>Metal tank (heavy gauge) manufacturing</t>
  </si>
  <si>
    <t>Ornamental and architectural metal products manufacturing</t>
  </si>
  <si>
    <t>Other fabricated metal manufacturing</t>
  </si>
  <si>
    <t>Plate work and fabricated structural product manufacturing</t>
  </si>
  <si>
    <t>Plumbing fixture fitting and trim manufacturing</t>
  </si>
  <si>
    <t>Power boiler and heat exchanger manufacturing</t>
  </si>
  <si>
    <t>Spring and wire product manufacturing</t>
  </si>
  <si>
    <t>Turned product and screw, nut, and bolt manufacturing</t>
  </si>
  <si>
    <t>Valve and fittings other than plumbing</t>
  </si>
  <si>
    <t>Furniture &amp; related prods</t>
  </si>
  <si>
    <t>Institutional furniture manufacturing</t>
  </si>
  <si>
    <t>Nonupholstered wood household furniture manufacturing</t>
  </si>
  <si>
    <t>Office furniture and custom architectural woodwork and millwork manufacturing</t>
  </si>
  <si>
    <t>Other furniture related product manufacturing</t>
  </si>
  <si>
    <t>Other household nonupholstered furniture</t>
  </si>
  <si>
    <t>Showcase, partition, shelving, and locker manufacturing</t>
  </si>
  <si>
    <t>Upholstered household furniture manufacturing</t>
  </si>
  <si>
    <t>Wood kitchen cabinet and countertop manufacturing</t>
  </si>
  <si>
    <t>Machinery mfg</t>
  </si>
  <si>
    <t>Air and gas compressor manufacturing</t>
  </si>
  <si>
    <t>Air conditioning, refrigeration, and warm air heating equipment manufacturing</t>
  </si>
  <si>
    <t>Air purification and ventilation equipment manufacturing</t>
  </si>
  <si>
    <t>Construction machinery manufacturing</t>
  </si>
  <si>
    <t>Cutting and machine tool accessory, rolling mill, and other metalworking machinery manufacturing</t>
  </si>
  <si>
    <t>Farm machinery and equipment manufacturing</t>
  </si>
  <si>
    <t>Fluid power process machinery</t>
  </si>
  <si>
    <t>Heating equipment (except warm air furnaces) manufacturing</t>
  </si>
  <si>
    <t>Industrial mold manufacturing</t>
  </si>
  <si>
    <t>Industrial process furnace and oven manufacturing</t>
  </si>
  <si>
    <t>Lawn and garden equipment manufacturing</t>
  </si>
  <si>
    <t>Material handling equipment manufacturing</t>
  </si>
  <si>
    <t>Mechanical power transmission equipment manufacturing</t>
  </si>
  <si>
    <t>Metal cutting and forming machine tool manufacturing</t>
  </si>
  <si>
    <t>Mining and oil and gas field machinery manufacturing</t>
  </si>
  <si>
    <t>Office machinery manufacturing</t>
  </si>
  <si>
    <t>Optical instrument and lens manufacturing</t>
  </si>
  <si>
    <t>Other engine equipment manufacturing</t>
  </si>
  <si>
    <t>Other general purpose machinery manufacturing</t>
  </si>
  <si>
    <t>Other industrial machinery manufacturing</t>
  </si>
  <si>
    <t>Packaging machinery manufacturing</t>
  </si>
  <si>
    <t>Photographic and photocopying equipment manufacturing</t>
  </si>
  <si>
    <t>Plastics and rubber industry machinery manufacturing</t>
  </si>
  <si>
    <t>Power-driven handtool manufacturing</t>
  </si>
  <si>
    <t>Pump and pumping equipment manufacturing</t>
  </si>
  <si>
    <t>Semiconductor machinery manufacturing</t>
  </si>
  <si>
    <t>Special tool, die, jig, and fixture manufacturing</t>
  </si>
  <si>
    <t>Speed changer, industrial high-speed drive, and gear manufacturing</t>
  </si>
  <si>
    <t>Turbine and turbine generator set units manufacturing</t>
  </si>
  <si>
    <t>Vending, commercial laundry, and other commercial and service industry machinery manufacturing</t>
  </si>
  <si>
    <t>Miscellaneous mfg</t>
  </si>
  <si>
    <t>All other miscellaneous manufacturing</t>
  </si>
  <si>
    <t>Dental equipment and supplies manufacturing</t>
  </si>
  <si>
    <t>Dental laboratories</t>
  </si>
  <si>
    <t>Doll, toy, and game manufacturing</t>
  </si>
  <si>
    <t>Jewelry and silverware manufacturing</t>
  </si>
  <si>
    <t>Office supplies (except paper) manufacturing</t>
  </si>
  <si>
    <t>Ophthalmic goods manufacturing</t>
  </si>
  <si>
    <t>Sign manufacturing</t>
  </si>
  <si>
    <t>Sporting and athletic goods manufacturing</t>
  </si>
  <si>
    <t>Surgical and medical instrument manufacturing</t>
  </si>
  <si>
    <t>Surgical appliance and supplies manufacturing</t>
  </si>
  <si>
    <t>Motor vehicles, bodies &amp; trailers, &amp; parts</t>
  </si>
  <si>
    <t>Automobile manufacturing</t>
  </si>
  <si>
    <t>Heavy duty truck manufacturing</t>
  </si>
  <si>
    <t>Light truck and utility vehicle manufacturing</t>
  </si>
  <si>
    <t>Motor home manufacturing</t>
  </si>
  <si>
    <t>Motor vehicle body manufacturing</t>
  </si>
  <si>
    <t>Motor vehicle electrical and electronic equipment manufacturing</t>
  </si>
  <si>
    <t>Motor vehicle gasoline engine and engine parts manufacturing</t>
  </si>
  <si>
    <t>Motor vehicle metal stamping</t>
  </si>
  <si>
    <t>Motor vehicle seating and interior trim manufacturing</t>
  </si>
  <si>
    <t>Motor vehicle steering, suspension component (except spring), and brake systems manufacturing</t>
  </si>
  <si>
    <t>Motor vehicle transmission and power train parts manufacturing</t>
  </si>
  <si>
    <t>Other motor vehicle parts manufacturing</t>
  </si>
  <si>
    <t>Travel trailer and camper manufacturing</t>
  </si>
  <si>
    <t>Truck trailer manufacturing</t>
  </si>
  <si>
    <t>Nonmetallic mineral prods</t>
  </si>
  <si>
    <t>Abrasive product manufacturing</t>
  </si>
  <si>
    <t>Cement manufacturing</t>
  </si>
  <si>
    <t>Clay product and refractory manufacturing</t>
  </si>
  <si>
    <t>Concrete pipe, brick, and block manufacturing</t>
  </si>
  <si>
    <t>Cut stone and stone product manufacturing</t>
  </si>
  <si>
    <t>Glass and glass product manufacturing</t>
  </si>
  <si>
    <t>Ground or treated mineral and earth manufacturing</t>
  </si>
  <si>
    <t>Lime and gypsum product manufacturing</t>
  </si>
  <si>
    <t>Mineral wool manufacturing</t>
  </si>
  <si>
    <t>Miscellaneous nonmetallic mineral products</t>
  </si>
  <si>
    <t>Other concrete product manufacturing</t>
  </si>
  <si>
    <t>Ready-mix concrete manufacturing</t>
  </si>
  <si>
    <t>Other petroleum &amp; coal prods</t>
  </si>
  <si>
    <t>Asphalt paving mixture and block manufacturing</t>
  </si>
  <si>
    <t>Asphalt shingle and coating materials manufacturing</t>
  </si>
  <si>
    <t>Other petroleum and coal products manufacturing</t>
  </si>
  <si>
    <t>Other transport equip</t>
  </si>
  <si>
    <t>Aircraft engine and engine parts manufacturing</t>
  </si>
  <si>
    <t>Aircraft manufacturing</t>
  </si>
  <si>
    <t>All other transportation equipment manufacturing</t>
  </si>
  <si>
    <t>Boat building</t>
  </si>
  <si>
    <t>Guided missile and space vehicle manufacturing</t>
  </si>
  <si>
    <t>Military armored vehicle, tank, and tank component manufacturing</t>
  </si>
  <si>
    <t>Motorcycle, bicycle, and parts manufacturing</t>
  </si>
  <si>
    <t>Other aircraft parts and auxiliary equipment manufacturing</t>
  </si>
  <si>
    <t>Propulsion units and parts for space vehicles and guided missiles</t>
  </si>
  <si>
    <t>Railroad rolling stock manufacturing</t>
  </si>
  <si>
    <t>Ship building and repairing</t>
  </si>
  <si>
    <t>Paper products</t>
  </si>
  <si>
    <t>All other converted paper product manufacturing</t>
  </si>
  <si>
    <t>Paper bag and coated and treated paper manufacturing</t>
  </si>
  <si>
    <t>Paper mills</t>
  </si>
  <si>
    <t>Paperboard container manufacturing</t>
  </si>
  <si>
    <t>Paperboard mills</t>
  </si>
  <si>
    <t>Pulp mills</t>
  </si>
  <si>
    <t>Sanitary paper product manufacturing</t>
  </si>
  <si>
    <t>Stationery product manufacturing</t>
  </si>
  <si>
    <t>Petroleum refineries</t>
  </si>
  <si>
    <t>Plastics &amp; rubber prods</t>
  </si>
  <si>
    <t>Laminated plastics plate, sheet (except packaging), and shape manufacturing</t>
  </si>
  <si>
    <t>Other plastics product manufacturing</t>
  </si>
  <si>
    <t>Other rubber product manufacturing</t>
  </si>
  <si>
    <t>Plastics bottle manufacturing</t>
  </si>
  <si>
    <t>Plastics packaging materials and unlaminated film and sheet manufacturing</t>
  </si>
  <si>
    <t>Plastics pipe, pipe fitting, and unlaminated profile shape manufacturing</t>
  </si>
  <si>
    <t>Polystyrene foam product manufacturing</t>
  </si>
  <si>
    <t>Rubber and plastics hoses and belting manufacturing</t>
  </si>
  <si>
    <t>Tire manufacturing</t>
  </si>
  <si>
    <t>Urethane and other foam product (except polystyrene) manufacturing</t>
  </si>
  <si>
    <t>Primary metals</t>
  </si>
  <si>
    <t>Alumina refining and primary aluminum production</t>
  </si>
  <si>
    <t>Aluminum product manufacturing from purchased aluminum</t>
  </si>
  <si>
    <t>Copper rolling, drawing, extruding and alloying</t>
  </si>
  <si>
    <t>Ferrous metal foundries</t>
  </si>
  <si>
    <t>Iron and steel mills and ferroalloy manufacturing</t>
  </si>
  <si>
    <t>Nonferrous metal (except copper and aluminum) rolling, drawing, extruding and alloying</t>
  </si>
  <si>
    <t>Nonferrous metal foundries</t>
  </si>
  <si>
    <t>Primary smelting and refining of copper</t>
  </si>
  <si>
    <t>Primary smelting and refining of nonferrous metal (except copper and aluminum)</t>
  </si>
  <si>
    <t>Steel product manufacturing from purchased steel</t>
  </si>
  <si>
    <t>Printing &amp; related support activities</t>
  </si>
  <si>
    <t>Printing</t>
  </si>
  <si>
    <t>Support activities for printing</t>
  </si>
  <si>
    <t>Textile mills &amp; apparel</t>
  </si>
  <si>
    <t>Apparel manufacturing</t>
  </si>
  <si>
    <t>Carpet and rug mills</t>
  </si>
  <si>
    <t>Curtain and linen mills</t>
  </si>
  <si>
    <t>Fabric mills</t>
  </si>
  <si>
    <t>Fiber, yarn, and thread mills</t>
  </si>
  <si>
    <t>Leather and allied product manufacturing</t>
  </si>
  <si>
    <t>Other textile product mills</t>
  </si>
  <si>
    <t>Textile and fabric finishing and fabric coating mills</t>
  </si>
  <si>
    <t>Tobacco product mfg</t>
  </si>
  <si>
    <t>Tobacco product manufacturing</t>
  </si>
  <si>
    <t>Wood prods</t>
  </si>
  <si>
    <t>All other wood product manufacturing</t>
  </si>
  <si>
    <t>Millwork</t>
  </si>
  <si>
    <t>Sawmills and wood preservation</t>
  </si>
  <si>
    <t>Veneer, plywood, and engineered wood product manufacturing</t>
  </si>
  <si>
    <t>Mining, exc oil &amp; gas</t>
  </si>
  <si>
    <t>Coal mining</t>
  </si>
  <si>
    <t>Copper, nickel, lead, and zinc mining</t>
  </si>
  <si>
    <t>Iron, gold, silver, and other metal ore mining</t>
  </si>
  <si>
    <t>Other nonmetallic mineral mining and quarrying</t>
  </si>
  <si>
    <t>Other support activities for mining</t>
  </si>
  <si>
    <t>Stone mining and quarrying</t>
  </si>
  <si>
    <t>Oil &amp; gas extraction</t>
  </si>
  <si>
    <t>Drilling oil and gas wells</t>
  </si>
  <si>
    <t>Oil and gas extraction</t>
  </si>
  <si>
    <t>1. Energy Consumption</t>
    <phoneticPr fontId="2" type="noConversion"/>
  </si>
  <si>
    <t>Product Carbon Footprints</t>
    <phoneticPr fontId="2" type="noConversion"/>
  </si>
  <si>
    <t>1. Product carbon footprints</t>
    <phoneticPr fontId="2" type="noConversion"/>
  </si>
  <si>
    <t>Energy Type</t>
    <phoneticPr fontId="2" type="noConversion"/>
  </si>
  <si>
    <t xml:space="preserve">Data for Calculating Total Product Carbon Footprints </t>
    <phoneticPr fontId="2" type="noConversion"/>
  </si>
  <si>
    <t>EA</t>
  </si>
  <si>
    <t>Unit 1</t>
    <phoneticPr fontId="2" type="noConversion"/>
  </si>
  <si>
    <t>BOT</t>
  </si>
  <si>
    <t>BOX</t>
  </si>
  <si>
    <t>CS</t>
  </si>
  <si>
    <t>DR</t>
  </si>
  <si>
    <t>g</t>
    <phoneticPr fontId="2" type="noConversion"/>
  </si>
  <si>
    <t>kg</t>
    <phoneticPr fontId="2" type="noConversion"/>
  </si>
  <si>
    <t>L</t>
  </si>
  <si>
    <t>LB</t>
  </si>
  <si>
    <t>ML</t>
  </si>
  <si>
    <t>PAI</t>
  </si>
  <si>
    <t>PAK</t>
  </si>
  <si>
    <t>SET</t>
  </si>
  <si>
    <t>ST</t>
  </si>
  <si>
    <t>TOT</t>
  </si>
  <si>
    <t>Other</t>
    <phoneticPr fontId="2" type="noConversion"/>
  </si>
  <si>
    <t>Product production quantity based</t>
    <phoneticPr fontId="2" type="noConversion"/>
  </si>
  <si>
    <t>Allocation</t>
    <phoneticPr fontId="2" type="noConversion"/>
  </si>
  <si>
    <t>Product sales based</t>
    <phoneticPr fontId="2" type="noConversion"/>
  </si>
  <si>
    <t>Production uptime based</t>
    <phoneticPr fontId="2" type="noConversion"/>
  </si>
  <si>
    <t>Measurement through the system</t>
    <phoneticPr fontId="2" type="noConversion"/>
  </si>
  <si>
    <t>Others (Describe on the Description section)</t>
  </si>
  <si>
    <t>LNG</t>
    <phoneticPr fontId="2" type="noConversion"/>
  </si>
  <si>
    <t>LPG</t>
    <phoneticPr fontId="2" type="noConversion"/>
  </si>
  <si>
    <t>Disel</t>
    <phoneticPr fontId="2" type="noConversion"/>
  </si>
  <si>
    <t>B-C Oil</t>
    <phoneticPr fontId="2" type="noConversion"/>
  </si>
  <si>
    <t>B-A Oil</t>
    <phoneticPr fontId="2" type="noConversion"/>
  </si>
  <si>
    <t>Bio Gas</t>
    <phoneticPr fontId="2" type="noConversion"/>
  </si>
  <si>
    <t>Bio Oil</t>
    <phoneticPr fontId="2" type="noConversion"/>
  </si>
  <si>
    <t>Bio mass</t>
    <phoneticPr fontId="2" type="noConversion"/>
  </si>
  <si>
    <t xml:space="preserve">Renewable electricity </t>
    <phoneticPr fontId="2" type="noConversion"/>
  </si>
  <si>
    <t>Non-renewable electricity</t>
    <phoneticPr fontId="2" type="noConversion"/>
  </si>
  <si>
    <t>Hot water or Steam from non-renewable sources</t>
    <phoneticPr fontId="2" type="noConversion"/>
  </si>
  <si>
    <t>ton</t>
    <phoneticPr fontId="2" type="noConversion"/>
  </si>
  <si>
    <t>Unit 2</t>
    <phoneticPr fontId="2" type="noConversion"/>
  </si>
  <si>
    <t>kL</t>
    <phoneticPr fontId="2" type="noConversion"/>
  </si>
  <si>
    <r>
      <t>thousand Nm</t>
    </r>
    <r>
      <rPr>
        <vertAlign val="superscript"/>
        <sz val="11"/>
        <color theme="1"/>
        <rFont val="Arial"/>
        <family val="2"/>
      </rPr>
      <t>3</t>
    </r>
    <phoneticPr fontId="2" type="noConversion"/>
  </si>
  <si>
    <t>MWh</t>
    <phoneticPr fontId="2" type="noConversion"/>
  </si>
  <si>
    <t>Gcal</t>
    <phoneticPr fontId="2" type="noConversion"/>
  </si>
  <si>
    <t>Waste Disposal Method -</t>
    <phoneticPr fontId="2" type="noConversion"/>
  </si>
  <si>
    <t>Waste type</t>
    <phoneticPr fontId="2" type="noConversion"/>
  </si>
  <si>
    <t>Incineration-Organic waste</t>
    <phoneticPr fontId="2" type="noConversion"/>
  </si>
  <si>
    <t>Recycling- Food Waste</t>
    <phoneticPr fontId="2" type="noConversion"/>
  </si>
  <si>
    <t>Recycling-Waste nonferrous metals</t>
    <phoneticPr fontId="2" type="noConversion"/>
  </si>
  <si>
    <t>Recycling-Waste iron metal</t>
    <phoneticPr fontId="2" type="noConversion"/>
  </si>
  <si>
    <t>Recycling-Waste concrete</t>
    <phoneticPr fontId="2" type="noConversion"/>
  </si>
  <si>
    <t>Waste water treatment</t>
    <phoneticPr fontId="2" type="noConversion"/>
  </si>
  <si>
    <t>Sewage treatment</t>
    <phoneticPr fontId="2" type="noConversion"/>
  </si>
  <si>
    <t>Raw materials (included in the product)</t>
    <phoneticPr fontId="2" type="noConversion"/>
  </si>
  <si>
    <t>Material classification</t>
    <phoneticPr fontId="2" type="noConversion"/>
  </si>
  <si>
    <t>Subsidiary materials (not included in the product, used during production)</t>
    <phoneticPr fontId="2" type="noConversion"/>
  </si>
  <si>
    <t>Packaging materials (product containers and packaging materials)</t>
    <phoneticPr fontId="2" type="noConversion"/>
  </si>
  <si>
    <t>steel goods</t>
    <phoneticPr fontId="2" type="noConversion"/>
  </si>
  <si>
    <t>Material Type</t>
    <phoneticPr fontId="2" type="noConversion"/>
  </si>
  <si>
    <t>non-ferrous goods</t>
    <phoneticPr fontId="2" type="noConversion"/>
  </si>
  <si>
    <t>plastics</t>
    <phoneticPr fontId="2" type="noConversion"/>
  </si>
  <si>
    <t>Ceramics and Glasses</t>
    <phoneticPr fontId="2" type="noConversion"/>
  </si>
  <si>
    <t>timber goods</t>
    <phoneticPr fontId="2" type="noConversion"/>
  </si>
  <si>
    <t>papers</t>
    <phoneticPr fontId="2" type="noConversion"/>
  </si>
  <si>
    <t>rubbers</t>
    <phoneticPr fontId="2" type="noConversion"/>
  </si>
  <si>
    <t>basic chemical substances</t>
    <phoneticPr fontId="2" type="noConversion"/>
  </si>
  <si>
    <t>Others (Describe on the Description section)</t>
    <phoneticPr fontId="2" type="noConversion"/>
  </si>
  <si>
    <t>Steel: Carbon steel</t>
    <phoneticPr fontId="2" type="noConversion"/>
  </si>
  <si>
    <t>Substance classification</t>
    <phoneticPr fontId="2" type="noConversion"/>
  </si>
  <si>
    <t>Steel: Stainless steel</t>
    <phoneticPr fontId="2" type="noConversion"/>
  </si>
  <si>
    <t>Non-ferrous:  Zinc</t>
  </si>
  <si>
    <t>Non-ferrous:  Nikel</t>
  </si>
  <si>
    <t>Non-ferrous:  Lead</t>
  </si>
  <si>
    <t>Non-ferrous:  Copper</t>
  </si>
  <si>
    <t>Non-ferrous:  Brass roll</t>
  </si>
  <si>
    <t>Non-ferrous:  Brass bar</t>
  </si>
  <si>
    <t>Non-ferrous:  Aluminium Strip</t>
  </si>
  <si>
    <t>Non-ferrous:  Aluminium foil</t>
    <phoneticPr fontId="2" type="noConversion"/>
  </si>
  <si>
    <t xml:space="preserve">Non-ferrous:  </t>
    <phoneticPr fontId="2" type="noConversion"/>
  </si>
  <si>
    <t>Wood</t>
    <phoneticPr fontId="2" type="noConversion"/>
  </si>
  <si>
    <t>Paper: Cardboard</t>
    <phoneticPr fontId="2" type="noConversion"/>
  </si>
  <si>
    <t>Paper: Newsprint</t>
  </si>
  <si>
    <t>Paper: Printing paper(virgin fiber)</t>
  </si>
  <si>
    <t>Paper: Printing paper(included recycled fiber)</t>
  </si>
  <si>
    <t>Paper: sulfate bleached pulp</t>
  </si>
  <si>
    <t>Paper: etc</t>
    <phoneticPr fontId="2" type="noConversion"/>
  </si>
  <si>
    <t>Rubber: styrene butadiene rubber</t>
  </si>
  <si>
    <t>Rubber: ethylene propylene diene monomer rubber</t>
  </si>
  <si>
    <t>Rubber: low-cis polybutadiene rubber</t>
  </si>
  <si>
    <t>Rubber: natural rubber</t>
  </si>
  <si>
    <t>Rubber: Silicon product</t>
    <phoneticPr fontId="2" type="noConversion"/>
  </si>
  <si>
    <t>Rubber: etc</t>
    <phoneticPr fontId="2" type="noConversion"/>
  </si>
  <si>
    <t>Plastic: Caprolactam, C6H11NO</t>
  </si>
  <si>
    <t>Plastic: Epoxy resin</t>
  </si>
  <si>
    <t>Plastic: EPS Expanded Polystyrene</t>
  </si>
  <si>
    <t>Plastic: GPPS General Purpose Polystyrene</t>
  </si>
  <si>
    <t>Plastic: HDPE High-Density Polyethylene</t>
  </si>
  <si>
    <t>Plastic: HIPS High Impact Polystyrene</t>
  </si>
  <si>
    <t>Plastic: LDPE Low-Density polyethylene</t>
  </si>
  <si>
    <t>Plastic: PBL Polybutadiene Latex</t>
  </si>
  <si>
    <t>Plastic: PEN, Polyethylene naphtalate</t>
  </si>
  <si>
    <t>Plastic: PMMA PolyMethyl Methacrylate</t>
  </si>
  <si>
    <t>Plastic: Polyamide 6, PA6</t>
  </si>
  <si>
    <t>Plastic: Polyamide 66, PA66</t>
  </si>
  <si>
    <t>Plastic: Polycarbonate</t>
    <phoneticPr fontId="2" type="noConversion"/>
  </si>
  <si>
    <t>Plastic: Polyurethane</t>
  </si>
  <si>
    <t>Plastic: Polysulfone</t>
    <phoneticPr fontId="2" type="noConversion"/>
  </si>
  <si>
    <t>Plastic: Polypropylene</t>
    <phoneticPr fontId="2" type="noConversion"/>
  </si>
  <si>
    <t>Plastic: Polyvinylfluoride production</t>
    <phoneticPr fontId="2" type="noConversion"/>
  </si>
  <si>
    <t>Plastic: Methacrylic resin</t>
    <phoneticPr fontId="2" type="noConversion"/>
  </si>
  <si>
    <t>Plastic: Nylon</t>
    <phoneticPr fontId="2" type="noConversion"/>
  </si>
  <si>
    <t>Plastic: Polytetrafluoroethylene</t>
    <phoneticPr fontId="2" type="noConversion"/>
  </si>
  <si>
    <t>Plastic: PVC Polyvinyl Chloride</t>
  </si>
  <si>
    <t>Plastic: SAN Stylene-Acrylonitrile</t>
  </si>
  <si>
    <t>Plastic: SM Styrene Monomer</t>
  </si>
  <si>
    <t>Plastic: Polycarbosilane</t>
    <phoneticPr fontId="2" type="noConversion"/>
  </si>
  <si>
    <t>Plastic: Polyethylene terephthalate</t>
    <phoneticPr fontId="2" type="noConversion"/>
  </si>
  <si>
    <t>Plastic: Polyvinylidene fluoride</t>
    <phoneticPr fontId="2" type="noConversion"/>
  </si>
  <si>
    <t>Plastic: Polyvynylpyrrolidone</t>
    <phoneticPr fontId="2" type="noConversion"/>
  </si>
  <si>
    <t>Plastic: VCM Vinyl Chloride Monomer</t>
  </si>
  <si>
    <t>Plastic: etc</t>
    <phoneticPr fontId="2" type="noConversion"/>
  </si>
  <si>
    <t>Chemicals: 1,3-butadiene, C4H6</t>
    <phoneticPr fontId="2" type="noConversion"/>
  </si>
  <si>
    <t>Chemicals: 1,4-butanediol, HO(CH2)4OH</t>
    <phoneticPr fontId="2" type="noConversion"/>
  </si>
  <si>
    <t>Chemicals: 2-[Bis(2-hydroxyethyl)amino]-2-(hydroxymethyl)propane-1,3-diol</t>
    <phoneticPr fontId="2" type="noConversion"/>
  </si>
  <si>
    <t>Chemicals: 2-Mercaptoethanol</t>
    <phoneticPr fontId="2" type="noConversion"/>
  </si>
  <si>
    <t>Chemicals: 2-Propanol</t>
    <phoneticPr fontId="2" type="noConversion"/>
  </si>
  <si>
    <t>Chemicals: ABS Powder</t>
    <phoneticPr fontId="2" type="noConversion"/>
  </si>
  <si>
    <t>Chemicals: Acetic acid</t>
    <phoneticPr fontId="2" type="noConversion"/>
  </si>
  <si>
    <t>Chemicals: Acetone, CH3COCH3</t>
    <phoneticPr fontId="2" type="noConversion"/>
  </si>
  <si>
    <t>Chemicals: Acrylonitrile, CH2CHCN</t>
    <phoneticPr fontId="2" type="noConversion"/>
  </si>
  <si>
    <t>Chemicals: Amino acids</t>
    <phoneticPr fontId="2" type="noConversion"/>
  </si>
  <si>
    <t>Chemicals: Ammonia, NH3</t>
    <phoneticPr fontId="2" type="noConversion"/>
  </si>
  <si>
    <t>Chemicals: Ammonium chloride, NH4Cl</t>
    <phoneticPr fontId="2" type="noConversion"/>
  </si>
  <si>
    <t>Chemicals: Ammonium sulphate</t>
    <phoneticPr fontId="2" type="noConversion"/>
  </si>
  <si>
    <t>Chemicals: Anhydrous hydrofluoric acid, AHF</t>
    <phoneticPr fontId="2" type="noConversion"/>
  </si>
  <si>
    <t>Chemicals: Aniline, C6H7N</t>
    <phoneticPr fontId="2" type="noConversion"/>
  </si>
  <si>
    <t>Chemicals: Argon, Ar</t>
    <phoneticPr fontId="2" type="noConversion"/>
  </si>
  <si>
    <t>Chemicals: Benzene</t>
    <phoneticPr fontId="2" type="noConversion"/>
  </si>
  <si>
    <t>Chemicals: Benzyl alcohol</t>
    <phoneticPr fontId="2" type="noConversion"/>
  </si>
  <si>
    <t>Chemicals: Bisphenol A</t>
    <phoneticPr fontId="2" type="noConversion"/>
  </si>
  <si>
    <t>Chemicals: Cadmium chloride, monohydrate</t>
    <phoneticPr fontId="2" type="noConversion"/>
  </si>
  <si>
    <t>Chemicals: Calcium hydroxide, Ca(OH)2</t>
    <phoneticPr fontId="2" type="noConversion"/>
  </si>
  <si>
    <t>Chemicals: Calcium oxide</t>
    <phoneticPr fontId="2" type="noConversion"/>
  </si>
  <si>
    <t>Chemicals: Carbon black</t>
    <phoneticPr fontId="2" type="noConversion"/>
  </si>
  <si>
    <t>Chemicals: Carbon dioxide</t>
    <phoneticPr fontId="2" type="noConversion"/>
  </si>
  <si>
    <t>Chemicals: Caustic soda, NaOH</t>
    <phoneticPr fontId="2" type="noConversion"/>
  </si>
  <si>
    <t>Chemicals: Cellulose</t>
    <phoneticPr fontId="2" type="noConversion"/>
  </si>
  <si>
    <t>Chemicals: Chloride ion</t>
    <phoneticPr fontId="2" type="noConversion"/>
  </si>
  <si>
    <t>Chemicals: Chlorine, Cl2</t>
    <phoneticPr fontId="2" type="noConversion"/>
  </si>
  <si>
    <t>Chemicals: Cholesterol</t>
    <phoneticPr fontId="2" type="noConversion"/>
  </si>
  <si>
    <t>Chemicals: Citric acid</t>
    <phoneticPr fontId="2" type="noConversion"/>
  </si>
  <si>
    <t>Chemicals: Copper(II) sulphate pentahydrate</t>
    <phoneticPr fontId="2" type="noConversion"/>
  </si>
  <si>
    <t>Chemicals: Cristobalite</t>
    <phoneticPr fontId="2" type="noConversion"/>
  </si>
  <si>
    <t>Chemicals: Decamethylcyclopentasiloxane</t>
    <phoneticPr fontId="2" type="noConversion"/>
  </si>
  <si>
    <t>Chemicals: Dimethyl terephthalate</t>
    <phoneticPr fontId="2" type="noConversion"/>
  </si>
  <si>
    <t>Chemicals: EDC Ethylene dichloride</t>
    <phoneticPr fontId="2" type="noConversion"/>
  </si>
  <si>
    <t>Chemicals: Epichlorohydrin, C3H5OCl</t>
    <phoneticPr fontId="2" type="noConversion"/>
  </si>
  <si>
    <t>Chemicals: Ethanol, CH3CH2OH</t>
    <phoneticPr fontId="2" type="noConversion"/>
  </si>
  <si>
    <t>Chemicals: Ethanolamine</t>
    <phoneticPr fontId="2" type="noConversion"/>
  </si>
  <si>
    <t>Chemicals: Ethylene</t>
    <phoneticPr fontId="2" type="noConversion"/>
  </si>
  <si>
    <t>Chemicals: Ethylene vinyl acetate</t>
    <phoneticPr fontId="2" type="noConversion"/>
  </si>
  <si>
    <t>Chemicals: Fatty acid</t>
    <phoneticPr fontId="2" type="noConversion"/>
  </si>
  <si>
    <t>Chemicals: Ferric oxide, Fe2O3</t>
    <phoneticPr fontId="2" type="noConversion"/>
  </si>
  <si>
    <t>Chemicals: Formaldehyde, HCHO</t>
    <phoneticPr fontId="2" type="noConversion"/>
  </si>
  <si>
    <t>Chemicals: Glucose</t>
    <phoneticPr fontId="2" type="noConversion"/>
  </si>
  <si>
    <t>Chemicals: glycine hydrochloride</t>
    <phoneticPr fontId="2" type="noConversion"/>
  </si>
  <si>
    <t>Chemicals: Gold</t>
    <phoneticPr fontId="2" type="noConversion"/>
  </si>
  <si>
    <t>Chemicals: Guanidinium chloride</t>
    <phoneticPr fontId="2" type="noConversion"/>
  </si>
  <si>
    <t>Chemicals: Hydrochloric acid, HCl</t>
    <phoneticPr fontId="2" type="noConversion"/>
  </si>
  <si>
    <t>Chemicals: Hydrogen fluoride, HF_55.5%</t>
    <phoneticPr fontId="2" type="noConversion"/>
  </si>
  <si>
    <t>Chemicals: Hydrogen, H2</t>
    <phoneticPr fontId="2" type="noConversion"/>
  </si>
  <si>
    <t>Chemicals: i-Butanol</t>
    <phoneticPr fontId="2" type="noConversion"/>
  </si>
  <si>
    <t>Chemicals: Insulin</t>
    <phoneticPr fontId="2" type="noConversion"/>
  </si>
  <si>
    <t>Chemicals: Isopropyl alcohol</t>
    <phoneticPr fontId="2" type="noConversion"/>
  </si>
  <si>
    <t>Chemicals: Kieselguhr, respirable</t>
    <phoneticPr fontId="2" type="noConversion"/>
  </si>
  <si>
    <t>Chemicals: Limestone</t>
    <phoneticPr fontId="2" type="noConversion"/>
  </si>
  <si>
    <t>Chemicals: Linear alkyl benzene sulfonate acid, LAS, RC6H6SO3H</t>
    <phoneticPr fontId="2" type="noConversion"/>
  </si>
  <si>
    <t>Chemicals: L-Tyrosine, disodium salt</t>
    <phoneticPr fontId="2" type="noConversion"/>
  </si>
  <si>
    <t xml:space="preserve">Chemicals: Lubrilam </t>
    <phoneticPr fontId="2" type="noConversion"/>
  </si>
  <si>
    <t>Chemicals: Mercaptoethanol</t>
    <phoneticPr fontId="2" type="noConversion"/>
  </si>
  <si>
    <t>Chemicals: Methanol, CH3OH</t>
    <phoneticPr fontId="2" type="noConversion"/>
  </si>
  <si>
    <t>Chemicals: n-Butanol</t>
    <phoneticPr fontId="2" type="noConversion"/>
  </si>
  <si>
    <t>Chemicals: Nickel(II) chloride hexahydrate</t>
    <phoneticPr fontId="2" type="noConversion"/>
  </si>
  <si>
    <t>Chemicals: Nitric acid, HNO3</t>
    <phoneticPr fontId="2" type="noConversion"/>
  </si>
  <si>
    <t>Chemicals: Nitrobenzene, C6H5NO2</t>
    <phoneticPr fontId="2" type="noConversion"/>
  </si>
  <si>
    <t>Chemicals: Nitrogen, N2</t>
    <phoneticPr fontId="2" type="noConversion"/>
  </si>
  <si>
    <t xml:space="preserve">Chemicals: Octamethylcyclotetrasiloxane </t>
    <phoneticPr fontId="2" type="noConversion"/>
  </si>
  <si>
    <t>Chemicals: Octanol; 2-Ethylhexyl alcohol</t>
    <phoneticPr fontId="2" type="noConversion"/>
  </si>
  <si>
    <t>Chemicals: Oxygen,O2</t>
    <phoneticPr fontId="2" type="noConversion"/>
  </si>
  <si>
    <t>Chemicals: Peptone, soy</t>
    <phoneticPr fontId="2" type="noConversion"/>
  </si>
  <si>
    <t>Chemicals: Phenol, C6H5OH</t>
    <phoneticPr fontId="2" type="noConversion"/>
  </si>
  <si>
    <t>Chemicals: Phosphoric acid</t>
    <phoneticPr fontId="2" type="noConversion"/>
  </si>
  <si>
    <t>Chemicals: Potassium carbonate, K2CO3</t>
    <phoneticPr fontId="2" type="noConversion"/>
  </si>
  <si>
    <t>Chemicals: Potassium chloride, KCl</t>
    <phoneticPr fontId="2" type="noConversion"/>
  </si>
  <si>
    <t>Chemicals: Potassium hydroxide, KOH-95%</t>
    <phoneticPr fontId="2" type="noConversion"/>
  </si>
  <si>
    <t>Chemicals: Potassium Phosphate</t>
    <phoneticPr fontId="2" type="noConversion"/>
  </si>
  <si>
    <t>Chemicals: Propylene</t>
    <phoneticPr fontId="2" type="noConversion"/>
  </si>
  <si>
    <t>Chemicals: Saccharose</t>
    <phoneticPr fontId="2" type="noConversion"/>
  </si>
  <si>
    <t>Chemicals: Selenious acid</t>
    <phoneticPr fontId="2" type="noConversion"/>
  </si>
  <si>
    <t>Chemicals: Silica sand</t>
    <phoneticPr fontId="2" type="noConversion"/>
  </si>
  <si>
    <t>Chemicals: Soda ash, Na2CO3</t>
    <phoneticPr fontId="2" type="noConversion"/>
  </si>
  <si>
    <t>Chemicals: Sodium bicarbonate</t>
    <phoneticPr fontId="2" type="noConversion"/>
  </si>
  <si>
    <t>Chemicals: Sodium carbonate</t>
    <phoneticPr fontId="2" type="noConversion"/>
  </si>
  <si>
    <t>Chemicals: Sodium carbonate monohydrate</t>
    <phoneticPr fontId="2" type="noConversion"/>
  </si>
  <si>
    <t>Chemicals: Sodium chloride, NaCl</t>
    <phoneticPr fontId="2" type="noConversion"/>
  </si>
  <si>
    <t>Chemicals: Sodium citrate</t>
    <phoneticPr fontId="2" type="noConversion"/>
  </si>
  <si>
    <t>Chemicals: Sodium cyanide, NaCN</t>
    <phoneticPr fontId="2" type="noConversion"/>
  </si>
  <si>
    <t>Chemicals: Sodium hypoxanthine</t>
    <phoneticPr fontId="2" type="noConversion"/>
  </si>
  <si>
    <t>Chemicals: Sodium lauryl sulfate</t>
    <phoneticPr fontId="2" type="noConversion"/>
  </si>
  <si>
    <t>Chemicals: Sodium nitrate, NaNO3</t>
    <phoneticPr fontId="2" type="noConversion"/>
  </si>
  <si>
    <t>Chemicals: Sodium Phosphat</t>
    <phoneticPr fontId="2" type="noConversion"/>
  </si>
  <si>
    <t>Chemicals: Sodium Pyruvate</t>
    <phoneticPr fontId="2" type="noConversion"/>
  </si>
  <si>
    <t xml:space="preserve">Chemicals: Sodium selenite </t>
    <phoneticPr fontId="2" type="noConversion"/>
  </si>
  <si>
    <t>Chemicals: Sodium silicate, Na2SiO3</t>
    <phoneticPr fontId="2" type="noConversion"/>
  </si>
  <si>
    <t>Chemicals: Sodium sulfate, Na2SO4</t>
    <phoneticPr fontId="2" type="noConversion"/>
  </si>
  <si>
    <t>Chemicals: Soy Peptone</t>
    <phoneticPr fontId="2" type="noConversion"/>
  </si>
  <si>
    <t>Chemicals: succinic acid</t>
    <phoneticPr fontId="2" type="noConversion"/>
  </si>
  <si>
    <t>Chemicals: Sulfuric acid, H2SO4_98%</t>
    <phoneticPr fontId="2" type="noConversion"/>
  </si>
  <si>
    <t>Chemicals: Thinner type</t>
    <phoneticPr fontId="2" type="noConversion"/>
  </si>
  <si>
    <t>Chemicals: Thymidine</t>
    <phoneticPr fontId="2" type="noConversion"/>
  </si>
  <si>
    <t>Chemicals: Toluene</t>
    <phoneticPr fontId="2" type="noConversion"/>
  </si>
  <si>
    <t>Chemicals: Tributyl phosphate</t>
    <phoneticPr fontId="2" type="noConversion"/>
  </si>
  <si>
    <t xml:space="preserve">Chemicals: Water </t>
    <phoneticPr fontId="2" type="noConversion"/>
  </si>
  <si>
    <t>Chemicals: Xylene</t>
    <phoneticPr fontId="2" type="noConversion"/>
  </si>
  <si>
    <t>Chemicals: Yeast extract</t>
    <phoneticPr fontId="2" type="noConversion"/>
  </si>
  <si>
    <t>Chemicals: Zeolite</t>
    <phoneticPr fontId="2" type="noConversion"/>
  </si>
  <si>
    <t>Chemicals: Zinc chloride</t>
    <phoneticPr fontId="2" type="noConversion"/>
  </si>
  <si>
    <t>Chemicals: Zinc oxide, ZnO</t>
    <phoneticPr fontId="2" type="noConversion"/>
  </si>
  <si>
    <t>Chemicals: etc</t>
    <phoneticPr fontId="2" type="noConversion"/>
  </si>
  <si>
    <t>Glass: bottle</t>
    <phoneticPr fontId="2" type="noConversion"/>
  </si>
  <si>
    <t>Glass: Color bottle</t>
    <phoneticPr fontId="2" type="noConversion"/>
  </si>
  <si>
    <t>Glass: etc</t>
    <phoneticPr fontId="2" type="noConversion"/>
  </si>
  <si>
    <t xml:space="preserve">ETC: </t>
    <phoneticPr fontId="2" type="noConversion"/>
  </si>
  <si>
    <t>2. Water Usage</t>
    <phoneticPr fontId="2" type="noConversion"/>
  </si>
  <si>
    <t>Water Type</t>
    <phoneticPr fontId="2" type="noConversion"/>
  </si>
  <si>
    <t>Industrial water</t>
    <phoneticPr fontId="2" type="noConversion"/>
  </si>
  <si>
    <t>Domestic water</t>
    <phoneticPr fontId="2" type="noConversion"/>
  </si>
  <si>
    <t>Recycling water</t>
    <phoneticPr fontId="2" type="noConversion"/>
  </si>
  <si>
    <t>Groundwater</t>
    <phoneticPr fontId="2" type="noConversion"/>
  </si>
  <si>
    <t>Rain water</t>
    <phoneticPr fontId="2" type="noConversion"/>
  </si>
  <si>
    <t>Desalinated water</t>
    <phoneticPr fontId="2" type="noConversion"/>
  </si>
  <si>
    <t>Water</t>
    <phoneticPr fontId="2" type="noConversion"/>
  </si>
  <si>
    <t>3. Waste Disposal</t>
    <phoneticPr fontId="2" type="noConversion"/>
  </si>
  <si>
    <t>L</t>
    <phoneticPr fontId="2" type="noConversion"/>
  </si>
  <si>
    <r>
      <t>Nm</t>
    </r>
    <r>
      <rPr>
        <vertAlign val="superscript"/>
        <sz val="11"/>
        <color theme="1"/>
        <rFont val="Arial"/>
        <family val="2"/>
      </rPr>
      <t>3</t>
    </r>
    <phoneticPr fontId="2" type="noConversion"/>
  </si>
  <si>
    <t>kWh</t>
    <phoneticPr fontId="2" type="noConversion"/>
  </si>
  <si>
    <t>4. Materials &amp; Substances</t>
    <phoneticPr fontId="2" type="noConversion"/>
  </si>
  <si>
    <t>1.2 (If yes) GHG Emissions target</t>
    <phoneticPr fontId="2" type="noConversion"/>
  </si>
  <si>
    <t>2.2 (If yes) Net zero target</t>
    <phoneticPr fontId="2" type="noConversion"/>
  </si>
  <si>
    <t xml:space="preserve"> * % = Renewable power used / total electricity consumption * 100</t>
    <phoneticPr fontId="2" type="noConversion"/>
  </si>
  <si>
    <t>3.2 (If yes) RE100 target</t>
    <phoneticPr fontId="2" type="noConversion"/>
  </si>
  <si>
    <t>Country</t>
    <phoneticPr fontId="2" type="noConversion"/>
  </si>
  <si>
    <r>
      <t>GHG emission factor
(Scope 1 or 2)
(tonCO</t>
    </r>
    <r>
      <rPr>
        <b/>
        <vertAlign val="subscript"/>
        <sz val="11"/>
        <color theme="0"/>
        <rFont val="Arial"/>
        <family val="2"/>
      </rPr>
      <t>2</t>
    </r>
    <r>
      <rPr>
        <b/>
        <sz val="11"/>
        <color theme="0"/>
        <rFont val="Arial"/>
        <family val="2"/>
      </rPr>
      <t>eq/unit)</t>
    </r>
    <phoneticPr fontId="2" type="noConversion"/>
  </si>
  <si>
    <t>1. Manufacturing factory</t>
    <phoneticPr fontId="2" type="noConversion"/>
  </si>
  <si>
    <t>Manufacturing factory</t>
    <phoneticPr fontId="2" type="noConversion"/>
  </si>
  <si>
    <t>Select from drop-down list</t>
    <phoneticPr fontId="25" type="noConversion"/>
  </si>
  <si>
    <t>Automatic calculation (no creation or selection required)</t>
    <phoneticPr fontId="25" type="noConversion"/>
  </si>
  <si>
    <t>Not Applicable (No need to create)</t>
    <phoneticPr fontId="25" type="noConversion"/>
  </si>
  <si>
    <t>Afghanistan</t>
  </si>
  <si>
    <t>Albania</t>
  </si>
  <si>
    <t>Algeria</t>
  </si>
  <si>
    <t>Andorra</t>
  </si>
  <si>
    <t>Angola</t>
  </si>
  <si>
    <t>Antigua and Barbuda</t>
  </si>
  <si>
    <t>Argentina</t>
  </si>
  <si>
    <t>Armenia</t>
  </si>
  <si>
    <t>Austria</t>
  </si>
  <si>
    <t>Azerbaijan</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</si>
  <si>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</si>
  <si>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</si>
  <si>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</si>
  <si>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</si>
  <si>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</si>
  <si>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</si>
  <si>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</si>
  <si>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</si>
  <si>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</si>
  <si>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</si>
  <si>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</si>
  <si>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</si>
  <si>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</si>
  <si>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</si>
  <si>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</si>
  <si>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</si>
  <si>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</si>
  <si>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</si>
  <si>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</si>
  <si>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</si>
  <si>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</si>
  <si>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</si>
  <si>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Channel Islands</t>
  </si>
  <si>
    <t>Chile</t>
  </si>
  <si>
    <t>China</t>
  </si>
  <si>
    <t>Colombia</t>
  </si>
  <si>
    <t>Comoros</t>
  </si>
  <si>
    <t>Congo</t>
  </si>
  <si>
    <t>Costa Rica</t>
  </si>
  <si>
    <t>Côte d'Ivoire</t>
  </si>
  <si>
    <t>Croatia</t>
  </si>
  <si>
    <t>Cuba</t>
  </si>
  <si>
    <t>Cyprus</t>
  </si>
  <si>
    <t>Czech Republic</t>
  </si>
  <si>
    <t>Denmark</t>
  </si>
  <si>
    <t>Djibouti</t>
  </si>
  <si>
    <t>Dominica</t>
  </si>
  <si>
    <t>Dominican Republic</t>
  </si>
  <si>
    <t>DR Congo</t>
  </si>
  <si>
    <t>Ecuador</t>
  </si>
  <si>
    <t>Egypt</t>
  </si>
  <si>
    <t>El Salvador</t>
  </si>
  <si>
    <t>Equatorial Guinea</t>
  </si>
  <si>
    <t>Eritrea</t>
  </si>
  <si>
    <t>Estonia</t>
  </si>
  <si>
    <t>Eswatini</t>
  </si>
  <si>
    <t>Ethiopia</t>
  </si>
  <si>
    <t>Faeroe Islands</t>
  </si>
  <si>
    <t>Finland</t>
  </si>
  <si>
    <t>France</t>
  </si>
  <si>
    <t>French Guiana</t>
  </si>
  <si>
    <t>Gabon</t>
  </si>
  <si>
    <t>Gambia</t>
  </si>
  <si>
    <t>Georgia</t>
  </si>
  <si>
    <t>Germany</t>
  </si>
  <si>
    <t>Ghana</t>
  </si>
  <si>
    <t>Gibraltar</t>
  </si>
  <si>
    <t>Greece</t>
  </si>
  <si>
    <t>Grenada</t>
  </si>
  <si>
    <t>Guatemala</t>
  </si>
  <si>
    <t>Guinea</t>
  </si>
  <si>
    <t>Guinea-Bissau</t>
  </si>
  <si>
    <t>Guyana</t>
  </si>
  <si>
    <t>Haiti</t>
  </si>
  <si>
    <t>Holy See</t>
  </si>
  <si>
    <t>Honduras</t>
  </si>
  <si>
    <t>Hong Kong</t>
  </si>
  <si>
    <t>Hungary</t>
  </si>
  <si>
    <t>Iceland</t>
  </si>
  <si>
    <t>India</t>
  </si>
  <si>
    <t>Indonesia</t>
  </si>
  <si>
    <t>Iran</t>
  </si>
  <si>
    <t>Iraq</t>
  </si>
  <si>
    <t>Ireland</t>
  </si>
  <si>
    <t>Isle of Man</t>
  </si>
  <si>
    <t>Israel</t>
  </si>
  <si>
    <t>Italy</t>
  </si>
  <si>
    <t>Jamaica</t>
  </si>
  <si>
    <t>Japan</t>
  </si>
  <si>
    <t>Jordan</t>
  </si>
  <si>
    <t>Kazakhstan</t>
  </si>
  <si>
    <t>Kenya</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</si>
  <si>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</si>
  <si>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</si>
  <si>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</si>
  <si>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</si>
  <si>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</si>
  <si>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</si>
  <si>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</si>
  <si>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</si>
  <si>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</si>
  <si>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</si>
  <si>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</si>
  <si>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</si>
  <si>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</si>
  <si>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</si>
  <si>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</si>
  <si>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</si>
  <si>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</si>
  <si>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</si>
  <si>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Mauritania</t>
  </si>
  <si>
    <t>Mauritius</t>
  </si>
  <si>
    <t>Mayotte</t>
  </si>
  <si>
    <t>Mexico</t>
  </si>
  <si>
    <t>Moldova</t>
  </si>
  <si>
    <t>Monaco</t>
  </si>
  <si>
    <t>Mongolia</t>
  </si>
  <si>
    <t>Montenegro</t>
  </si>
  <si>
    <t>Morocco</t>
  </si>
  <si>
    <t>Mozambique</t>
  </si>
  <si>
    <t>Myanmar</t>
  </si>
  <si>
    <t>Namibia</t>
  </si>
  <si>
    <t>Nepal</t>
  </si>
  <si>
    <t>Netherlands</t>
  </si>
  <si>
    <t>Nicaragua</t>
  </si>
  <si>
    <t>Niger</t>
  </si>
  <si>
    <t>Nigeria</t>
  </si>
  <si>
    <t>North Korea</t>
  </si>
  <si>
    <t>North Macedonia</t>
  </si>
  <si>
    <t>Norway</t>
  </si>
  <si>
    <t>Oman</t>
  </si>
  <si>
    <t>Pakistan</t>
  </si>
  <si>
    <t>Panama</t>
  </si>
  <si>
    <t>Paraguay</t>
  </si>
  <si>
    <t>Peru</t>
  </si>
  <si>
    <t>Philippines</t>
  </si>
  <si>
    <t>Poland</t>
  </si>
  <si>
    <t>Portugal</t>
  </si>
  <si>
    <t>Qatar</t>
  </si>
  <si>
    <t>Réunion</t>
  </si>
  <si>
    <t>Romania</t>
  </si>
  <si>
    <t>Russia</t>
  </si>
  <si>
    <t>Rwanda</t>
  </si>
  <si>
    <t>Saint Helena</t>
  </si>
  <si>
    <t>Saint Kitts and Nevis</t>
  </si>
  <si>
    <t>Saint Lucia</t>
  </si>
  <si>
    <t>Saint Vincent and the Grenadines</t>
  </si>
  <si>
    <t>San Marino</t>
  </si>
  <si>
    <t>Sao Tome &amp; Principe</t>
  </si>
  <si>
    <t>Saudi Arabia</t>
  </si>
  <si>
    <t>Senegal</t>
  </si>
  <si>
    <t>Serbia</t>
  </si>
  <si>
    <t>Seychelles</t>
  </si>
  <si>
    <t>Sierra Leone</t>
  </si>
  <si>
    <t>Singapore</t>
  </si>
  <si>
    <t>Slovakia</t>
  </si>
  <si>
    <t>Slovenia</t>
  </si>
  <si>
    <t>Somalia</t>
  </si>
  <si>
    <t>South Africa</t>
  </si>
  <si>
    <t>South Korea</t>
  </si>
  <si>
    <t>South Sudan</t>
  </si>
  <si>
    <t>Spain</t>
  </si>
  <si>
    <t>Sri Lanka</t>
  </si>
  <si>
    <t>State of Palestine</t>
  </si>
  <si>
    <t>Sudan</t>
  </si>
  <si>
    <t>Suriname</t>
  </si>
  <si>
    <t>Sweden</t>
  </si>
  <si>
    <t>Switzerland</t>
  </si>
  <si>
    <t>Syria</t>
  </si>
  <si>
    <t>Taiwan</t>
  </si>
  <si>
    <t>Tajikistan</t>
  </si>
  <si>
    <t>Tanzania</t>
  </si>
  <si>
    <t>Thailand</t>
  </si>
  <si>
    <t>The Bahamas</t>
  </si>
  <si>
    <t>Timor-Leste</t>
  </si>
  <si>
    <t>Togo</t>
  </si>
  <si>
    <t>Trinidad and Tobago</t>
  </si>
  <si>
    <t>Tunisia</t>
  </si>
  <si>
    <t>Turkey</t>
  </si>
  <si>
    <t>Turkmenistan</t>
  </si>
  <si>
    <t>Uganda</t>
  </si>
  <si>
    <t>Ukraine</t>
  </si>
  <si>
    <t>United Arab Emirates</t>
  </si>
  <si>
    <t>United Kingdom</t>
  </si>
  <si>
    <t>United States</t>
  </si>
  <si>
    <t>Uruguay</t>
  </si>
  <si>
    <t>Uzbekistan</t>
  </si>
  <si>
    <t>Venezuela</t>
  </si>
  <si>
    <t>Vietnam</t>
  </si>
  <si>
    <t>Western Sahara</t>
  </si>
  <si>
    <t>Yemen</t>
  </si>
  <si>
    <t>Zambia</t>
  </si>
  <si>
    <t>Zimbabwe</t>
  </si>
  <si>
    <t>1. Scope 3 Category (For more information: https://ghgprotocol.org/scope-3-calculation-guidance-2)</t>
    <phoneticPr fontId="2" type="noConversion"/>
  </si>
  <si>
    <t>- Category 1: Extraction, production, and transportation of goods and services purchased or acquired by the reporting company in the reporting year.</t>
    <phoneticPr fontId="2" type="noConversion"/>
  </si>
  <si>
    <t>- Category 2: Extraction, production, and transportation of capital goods purchased or acquired by the reporting company in the reporting year.</t>
    <phoneticPr fontId="2" type="noConversion"/>
  </si>
  <si>
    <t>- Category 3: Extraction, production, and transportation of fuels and energy purchased or acquired by the reporting company in the reporting year, not already accounted for in scope 1 or scope 2.</t>
    <phoneticPr fontId="2" type="noConversion"/>
  </si>
  <si>
    <t>- Category 4: Transportation and distribution of products purchased by the reporting company in the reporting year between a company’s tier 1 suppliers and its own operations (in vehicles nd facilities not owned or controlled by the reporting company). Transportation and distribution services purchased by the reporting company in the reporting year, including inbound logistics, outbound logistics (e.g., of sold products), and transportation and distribution between a company’s own facilities (in vehicles and facilities not owned or controlled by the reporting company)</t>
    <phoneticPr fontId="2" type="noConversion"/>
  </si>
  <si>
    <t>- Category 5: Disposal and treatment of waste generated in the reporting company’s operations in the reporting year (in facilities not owned or controlled by the reporting company)</t>
    <phoneticPr fontId="2" type="noConversion"/>
  </si>
  <si>
    <t>- Category 6: Transportation of employees for business-related activities during the reporting year (in vehicles not owned or operated by the reporting company)</t>
    <phoneticPr fontId="2" type="noConversion"/>
  </si>
  <si>
    <t>- Category 7: Transportation of employees between their homes and their worksites during the reporting year (in vehicles not owned or operated by the reporting company)</t>
    <phoneticPr fontId="2" type="noConversion"/>
  </si>
  <si>
    <t>- Category 8: Operation of assets leased by the reporting company (lessee) in the reporting year and not included in scope 1 and scope 2 – reported by lessee</t>
    <phoneticPr fontId="2" type="noConversion"/>
  </si>
  <si>
    <t>- Category 9: Transportation and distribution of products sold by the reporting company in the reporting year between the reporting company’s operations and the end consumer (if not paid for by the reporting company), including retail and storage (in vehicles and facilities not owned or controlled by the reporting company)</t>
    <phoneticPr fontId="2" type="noConversion"/>
  </si>
  <si>
    <t>- Category 10: Processing of intermediate products sold in the reporting year by downstream companies (e.g., manufacturers)</t>
    <phoneticPr fontId="2" type="noConversion"/>
  </si>
  <si>
    <t>- Category 11: End use of goods and services sold by the reporting company in the reporting year</t>
    <phoneticPr fontId="2" type="noConversion"/>
  </si>
  <si>
    <t>- Category 12: Waste disposal and treatment of products sold by the reporting company (in the reporting year) at the end of their life</t>
    <phoneticPr fontId="2" type="noConversion"/>
  </si>
  <si>
    <t>- Category 13: Operation of assets owned by the reporting company (lessor) and leased to other entities in the reporting year, not included in scope 1 and scope 2 – reported by lessor</t>
    <phoneticPr fontId="2" type="noConversion"/>
  </si>
  <si>
    <t>- Category 14: Operation of franchises in the reporting year, not included in scope 1 and scope 2 – reported by franchisor</t>
    <phoneticPr fontId="2" type="noConversion"/>
  </si>
  <si>
    <t>- Category 15: Operation of investments (including equity and debt investments and project finance) in the reporting year, not included in scope 1 or scope 2</t>
    <phoneticPr fontId="2" type="noConversion"/>
  </si>
  <si>
    <t>[Note]</t>
    <phoneticPr fontId="2" type="noConversion"/>
  </si>
  <si>
    <t>Numerical or text data entry</t>
    <phoneticPr fontId="25" type="noConversion"/>
  </si>
  <si>
    <t>Guideline</t>
    <phoneticPr fontId="2" type="noConversion"/>
  </si>
  <si>
    <t>A. Survey Criteria</t>
    <phoneticPr fontId="2" type="noConversion"/>
  </si>
  <si>
    <t>Reporting Period</t>
    <phoneticPr fontId="2" type="noConversion"/>
  </si>
  <si>
    <t>Standards/Protocol</t>
    <phoneticPr fontId="2" type="noConversion"/>
  </si>
  <si>
    <t>Factories and Products</t>
    <phoneticPr fontId="2" type="noConversion"/>
  </si>
  <si>
    <t>Methodology</t>
    <phoneticPr fontId="2" type="noConversion"/>
  </si>
  <si>
    <t>B. Survey Process</t>
    <phoneticPr fontId="2" type="noConversion"/>
  </si>
  <si>
    <t>C. Criteria by the cell color</t>
    <phoneticPr fontId="2" type="noConversion"/>
  </si>
  <si>
    <t>Select from drop-down list</t>
    <phoneticPr fontId="2" type="noConversion"/>
  </si>
  <si>
    <t>Automatic calculation (no creation or selection required)</t>
    <phoneticPr fontId="2" type="noConversion"/>
  </si>
  <si>
    <t>Not Applicable (No need to create)</t>
    <phoneticPr fontId="2" type="noConversion"/>
  </si>
  <si>
    <t>Transportation: Spend-based data method / Distribution: Average-data method</t>
    <phoneticPr fontId="2" type="noConversion"/>
  </si>
  <si>
    <t>Transportation: Spend-based data method / Distribution: Site-specific method</t>
    <phoneticPr fontId="2" type="noConversion"/>
  </si>
  <si>
    <t>Transportation: Distance-based method / Distribution: Average-data method</t>
    <phoneticPr fontId="2" type="noConversion"/>
  </si>
  <si>
    <t>Transportation: Distance-based method / Distribution: Site-specific method</t>
    <phoneticPr fontId="2" type="noConversion"/>
  </si>
  <si>
    <t>Transportation: Fuel-based method / Distribution: Average-data method</t>
    <phoneticPr fontId="2" type="noConversion"/>
  </si>
  <si>
    <t>Transportation: Fuel-based method / Distridution: Site-specific method</t>
    <phoneticPr fontId="2" type="noConversion"/>
  </si>
  <si>
    <t>Category 4</t>
    <phoneticPr fontId="2" type="noConversion"/>
  </si>
  <si>
    <t>Category 5</t>
    <phoneticPr fontId="2" type="noConversion"/>
  </si>
  <si>
    <t>Supplier-specific method</t>
    <phoneticPr fontId="2" type="noConversion"/>
  </si>
  <si>
    <t>Waste-type-specific method</t>
    <phoneticPr fontId="2" type="noConversion"/>
  </si>
  <si>
    <t>Average-data method</t>
    <phoneticPr fontId="2" type="noConversion"/>
  </si>
  <si>
    <t>Category 6</t>
    <phoneticPr fontId="2" type="noConversion"/>
  </si>
  <si>
    <t>Fuel-based method</t>
    <phoneticPr fontId="2" type="noConversion"/>
  </si>
  <si>
    <t>Distance-based method</t>
    <phoneticPr fontId="2" type="noConversion"/>
  </si>
  <si>
    <t>Spend-based method</t>
    <phoneticPr fontId="2" type="noConversion"/>
  </si>
  <si>
    <t>Category 7</t>
    <phoneticPr fontId="2" type="noConversion"/>
  </si>
  <si>
    <t>Category 8</t>
    <phoneticPr fontId="2" type="noConversion"/>
  </si>
  <si>
    <t>Asset-specific method</t>
    <phoneticPr fontId="2" type="noConversion"/>
  </si>
  <si>
    <t>Lessor-specific method</t>
    <phoneticPr fontId="2" type="noConversion"/>
  </si>
  <si>
    <t>Category 9</t>
    <phoneticPr fontId="2" type="noConversion"/>
  </si>
  <si>
    <t>Category 10</t>
    <phoneticPr fontId="2" type="noConversion"/>
  </si>
  <si>
    <t>Site-specific method</t>
    <phoneticPr fontId="2" type="noConversion"/>
  </si>
  <si>
    <t>Category 13</t>
    <phoneticPr fontId="2" type="noConversion"/>
  </si>
  <si>
    <t>Category 15</t>
    <phoneticPr fontId="2" type="noConversion"/>
  </si>
  <si>
    <t>Investment-specific approach</t>
    <phoneticPr fontId="2" type="noConversion"/>
  </si>
  <si>
    <r>
      <t>Product Carbon Footprint
(gCO</t>
    </r>
    <r>
      <rPr>
        <b/>
        <vertAlign val="subscript"/>
        <sz val="11"/>
        <color theme="0"/>
        <rFont val="맑은 고딕"/>
        <family val="3"/>
        <charset val="129"/>
        <scheme val="minor"/>
      </rPr>
      <t>2</t>
    </r>
    <r>
      <rPr>
        <b/>
        <sz val="11"/>
        <color theme="0"/>
        <rFont val="맑은 고딕"/>
        <family val="3"/>
        <charset val="129"/>
        <scheme val="minor"/>
      </rPr>
      <t>eq/kg)</t>
    </r>
    <phoneticPr fontId="2" type="noConversion"/>
  </si>
  <si>
    <t>Recycling water</t>
  </si>
  <si>
    <t>LNG</t>
  </si>
  <si>
    <t>LPG</t>
  </si>
  <si>
    <t>Disel</t>
  </si>
  <si>
    <t>B-C Oil</t>
  </si>
  <si>
    <t>B-A Oil</t>
  </si>
  <si>
    <t>Bio Gas</t>
  </si>
  <si>
    <t>Bio Oil</t>
  </si>
  <si>
    <t>Bio mass</t>
  </si>
  <si>
    <t>Hot water or Steam from renewable sources</t>
    <phoneticPr fontId="2" type="noConversion"/>
  </si>
  <si>
    <t>kg</t>
  </si>
  <si>
    <t>MWh</t>
  </si>
  <si>
    <t>Unit 
(Do not change units)</t>
    <phoneticPr fontId="2" type="noConversion"/>
  </si>
  <si>
    <t>ton</t>
  </si>
  <si>
    <t>MJ</t>
    <phoneticPr fontId="2" type="noConversion"/>
  </si>
  <si>
    <t>Landfill-Waste rubber/waste leather</t>
  </si>
  <si>
    <t>Landfill-Waste concrete(construction waste)</t>
    <phoneticPr fontId="2" type="noConversion"/>
  </si>
  <si>
    <t>Landfill-Organic waste (Food waste, etc.)</t>
    <phoneticPr fontId="2" type="noConversion"/>
  </si>
  <si>
    <t>Landfill-Inactive substances</t>
    <phoneticPr fontId="2" type="noConversion"/>
  </si>
  <si>
    <t>Landfill-Household waste</t>
  </si>
  <si>
    <t>Incineration-Household waste</t>
  </si>
  <si>
    <t>Landfill-Hazardous waste</t>
  </si>
  <si>
    <t>Incineration-Hazardous waste</t>
  </si>
  <si>
    <t>Landfill-General waste</t>
  </si>
  <si>
    <t>Incineration-Waste rubber</t>
  </si>
  <si>
    <t>Landfill-Waste metals</t>
  </si>
  <si>
    <t>Incineration-Waste metals</t>
  </si>
  <si>
    <t>Landfill-Waste wood</t>
  </si>
  <si>
    <t>Incineration-Waste wood</t>
  </si>
  <si>
    <t>Recycling-Waste wood</t>
  </si>
  <si>
    <t>Landfill-Waste glass</t>
  </si>
  <si>
    <t>Incineration-Waste glass</t>
  </si>
  <si>
    <t>Recycling-Waste glass</t>
  </si>
  <si>
    <t>Landfill-Waste paper</t>
  </si>
  <si>
    <t>Incineration-Waste paper</t>
  </si>
  <si>
    <t>Recycling-Waste paper</t>
  </si>
  <si>
    <t>Landfill-Mixed waste plastic</t>
  </si>
  <si>
    <t>Incineration-Mixed waste plastic</t>
  </si>
  <si>
    <t>Recycling-Mixed waste plastic</t>
  </si>
  <si>
    <t>Recycling-Waste cardboard</t>
    <phoneticPr fontId="2" type="noConversion"/>
  </si>
  <si>
    <t>Recycling-Waste nonferrous metals</t>
  </si>
  <si>
    <t>Other(direct entry)</t>
    <phoneticPr fontId="2" type="noConversion"/>
  </si>
  <si>
    <t>Landfill-General(household) waste</t>
    <phoneticPr fontId="2" type="noConversion"/>
  </si>
  <si>
    <t>Incineration-General(household) waste</t>
    <phoneticPr fontId="2" type="noConversion"/>
  </si>
  <si>
    <t>Landfill-Waste metals</t>
    <phoneticPr fontId="2" type="noConversion"/>
  </si>
  <si>
    <t>Recycling-Waste metals</t>
    <phoneticPr fontId="2" type="noConversion"/>
  </si>
  <si>
    <t>Recycling-Waste concrete(construction waste)</t>
    <phoneticPr fontId="2" type="noConversion"/>
  </si>
  <si>
    <t>If necessary, add a line below the last line to complete the following</t>
  </si>
  <si>
    <t>GAL</t>
    <phoneticPr fontId="2" type="noConversion"/>
  </si>
  <si>
    <t>Summary</t>
    <phoneticPr fontId="2" type="noConversion"/>
  </si>
  <si>
    <r>
      <rPr>
        <sz val="11"/>
        <color theme="1"/>
        <rFont val="맑은 고딕"/>
        <family val="2"/>
        <charset val="129"/>
      </rPr>
      <t>※</t>
    </r>
    <r>
      <rPr>
        <sz val="11"/>
        <color theme="1"/>
        <rFont val="Arial"/>
        <family val="2"/>
      </rPr>
      <t xml:space="preserve"> Key data aggregation sheet of each sheet</t>
    </r>
    <phoneticPr fontId="2" type="noConversion"/>
  </si>
  <si>
    <t>1. GHG(Greenhouse Gas) emissions</t>
    <phoneticPr fontId="2" type="noConversion"/>
  </si>
  <si>
    <t>* Performance year: the previous year</t>
    <phoneticPr fontId="2" type="noConversion"/>
  </si>
  <si>
    <t>unit</t>
    <phoneticPr fontId="2" type="noConversion"/>
  </si>
  <si>
    <t>Year</t>
    <phoneticPr fontId="2" type="noConversion"/>
  </si>
  <si>
    <t>year</t>
    <phoneticPr fontId="2" type="noConversion"/>
  </si>
  <si>
    <t>Total GHG emissions</t>
    <phoneticPr fontId="2" type="noConversion"/>
  </si>
  <si>
    <t>Scope 1 emissions</t>
    <phoneticPr fontId="2" type="noConversion"/>
  </si>
  <si>
    <t>Scope 2 emissions</t>
    <phoneticPr fontId="2" type="noConversion"/>
  </si>
  <si>
    <t>Scope 3 emissions</t>
    <phoneticPr fontId="2" type="noConversion"/>
  </si>
  <si>
    <t>Note</t>
    <phoneticPr fontId="2" type="noConversion"/>
  </si>
  <si>
    <t>Emissions from product transportation</t>
    <phoneticPr fontId="2" type="noConversion"/>
  </si>
  <si>
    <t>Emissions from energy use</t>
    <phoneticPr fontId="2" type="noConversion"/>
  </si>
  <si>
    <t>Scope 1, 2</t>
    <phoneticPr fontId="2" type="noConversion"/>
  </si>
  <si>
    <t xml:space="preserve">Emissions from waste disposal </t>
    <phoneticPr fontId="2" type="noConversion"/>
  </si>
  <si>
    <t>Emissions from raw material transportation</t>
    <phoneticPr fontId="2" type="noConversion"/>
  </si>
  <si>
    <t>Number of managed products</t>
    <phoneticPr fontId="2" type="noConversion"/>
  </si>
  <si>
    <t>number</t>
    <phoneticPr fontId="2" type="noConversion"/>
  </si>
  <si>
    <t>Number of external authentication products</t>
    <phoneticPr fontId="2" type="noConversion"/>
  </si>
  <si>
    <t>Reporting year</t>
    <phoneticPr fontId="2" type="noConversion"/>
  </si>
  <si>
    <r>
      <t>tCO</t>
    </r>
    <r>
      <rPr>
        <vertAlign val="subscript"/>
        <sz val="11"/>
        <rFont val="Arial"/>
        <family val="2"/>
      </rPr>
      <t>2</t>
    </r>
    <r>
      <rPr>
        <sz val="11"/>
        <rFont val="Arial"/>
        <family val="2"/>
      </rPr>
      <t>eq/year</t>
    </r>
    <phoneticPr fontId="2" type="noConversion"/>
  </si>
  <si>
    <t>Base year of Net zero target</t>
    <phoneticPr fontId="2" type="noConversion"/>
  </si>
  <si>
    <t>Numerical or text data entry</t>
    <phoneticPr fontId="2" type="noConversion"/>
  </si>
  <si>
    <t>Product weights
(g)</t>
    <phoneticPr fontId="2" type="noConversion"/>
  </si>
  <si>
    <t>2. Status of GHG emission management by product unit</t>
    <phoneticPr fontId="2" type="noConversion"/>
  </si>
  <si>
    <t>3. Details of GHG emissions</t>
    <phoneticPr fontId="2" type="noConversion"/>
  </si>
  <si>
    <t>Emissions</t>
    <phoneticPr fontId="2" type="noConversion"/>
  </si>
  <si>
    <t>Energy</t>
    <phoneticPr fontId="2" type="noConversion"/>
  </si>
  <si>
    <t>Waste</t>
    <phoneticPr fontId="2" type="noConversion"/>
  </si>
  <si>
    <t>Hybrid</t>
    <phoneticPr fontId="2" type="noConversion"/>
  </si>
  <si>
    <t>Product</t>
    <phoneticPr fontId="2" type="noConversion"/>
  </si>
  <si>
    <t>Energy, Water, Waste, Materals &amp; Substances of the product</t>
    <phoneticPr fontId="2" type="noConversion"/>
  </si>
  <si>
    <t>Scope 1, 2, 3 Emissions</t>
    <phoneticPr fontId="2" type="noConversion"/>
  </si>
  <si>
    <t>Factory information &amp; percentage of products supplied to SBL</t>
    <phoneticPr fontId="2" type="noConversion"/>
  </si>
  <si>
    <t>Product information &amp; weight of the product &amp; PCF</t>
    <phoneticPr fontId="2" type="noConversion"/>
  </si>
  <si>
    <r>
      <t>Product Name</t>
    </r>
    <r>
      <rPr>
        <b/>
        <sz val="11"/>
        <color rgb="FFFF0000"/>
        <rFont val="맑은 고딕"/>
        <family val="3"/>
        <charset val="129"/>
        <scheme val="minor"/>
      </rPr>
      <t xml:space="preserve"> *</t>
    </r>
    <phoneticPr fontId="2" type="noConversion"/>
  </si>
  <si>
    <r>
      <t>Product code(SBL)</t>
    </r>
    <r>
      <rPr>
        <b/>
        <sz val="11"/>
        <color rgb="FFFF0000"/>
        <rFont val="맑은 고딕"/>
        <family val="3"/>
        <charset val="129"/>
        <scheme val="minor"/>
      </rPr>
      <t xml:space="preserve"> *</t>
    </r>
    <phoneticPr fontId="2" type="noConversion"/>
  </si>
  <si>
    <r>
      <t>Product Type 1</t>
    </r>
    <r>
      <rPr>
        <b/>
        <sz val="11"/>
        <color rgb="FFFF0000"/>
        <rFont val="맑은 고딕"/>
        <family val="3"/>
        <charset val="129"/>
        <scheme val="minor"/>
      </rPr>
      <t xml:space="preserve"> *</t>
    </r>
    <phoneticPr fontId="2" type="noConversion"/>
  </si>
  <si>
    <r>
      <t>Product Type 2</t>
    </r>
    <r>
      <rPr>
        <b/>
        <sz val="11"/>
        <color rgb="FFFF0000"/>
        <rFont val="맑은 고딕"/>
        <family val="3"/>
        <charset val="129"/>
        <scheme val="minor"/>
      </rPr>
      <t xml:space="preserve"> *</t>
    </r>
    <phoneticPr fontId="2" type="noConversion"/>
  </si>
  <si>
    <r>
      <t xml:space="preserve">Supply Unit </t>
    </r>
    <r>
      <rPr>
        <b/>
        <sz val="11"/>
        <color rgb="FFFF0000"/>
        <rFont val="맑은 고딕"/>
        <family val="3"/>
        <charset val="129"/>
        <scheme val="minor"/>
      </rPr>
      <t>*</t>
    </r>
    <phoneticPr fontId="2" type="noConversion"/>
  </si>
  <si>
    <r>
      <t xml:space="preserve">Weight conversion factor </t>
    </r>
    <r>
      <rPr>
        <b/>
        <sz val="11"/>
        <color rgb="FFFF0000"/>
        <rFont val="맑은 고딕"/>
        <family val="3"/>
        <charset val="129"/>
        <scheme val="minor"/>
      </rPr>
      <t xml:space="preserve"> *</t>
    </r>
    <r>
      <rPr>
        <b/>
        <sz val="11"/>
        <color theme="0"/>
        <rFont val="맑은 고딕"/>
        <family val="3"/>
        <charset val="129"/>
        <scheme val="minor"/>
      </rPr>
      <t xml:space="preserve">
(g/Supply Unit)</t>
    </r>
    <phoneticPr fontId="2" type="noConversion"/>
  </si>
  <si>
    <t>Whether the PCF is validated 
by the 3rd party</t>
    <phoneticPr fontId="2" type="noConversion"/>
  </si>
  <si>
    <t>The red asterisked column is a must-fill.</t>
    <phoneticPr fontId="2" type="noConversion"/>
  </si>
  <si>
    <t>Entire emissions</t>
    <phoneticPr fontId="2" type="noConversion"/>
  </si>
  <si>
    <t>Allocation to SBL</t>
    <phoneticPr fontId="2" type="noConversion"/>
  </si>
  <si>
    <t>Sheet name</t>
    <phoneticPr fontId="2" type="noConversion"/>
  </si>
  <si>
    <r>
      <t xml:space="preserve">Scope </t>
    </r>
    <r>
      <rPr>
        <b/>
        <sz val="12"/>
        <color rgb="FFFF0000"/>
        <rFont val="맑은 고딕"/>
        <family val="3"/>
        <charset val="129"/>
        <scheme val="minor"/>
      </rPr>
      <t>*</t>
    </r>
    <phoneticPr fontId="2" type="noConversion"/>
  </si>
  <si>
    <r>
      <t>Base year</t>
    </r>
    <r>
      <rPr>
        <b/>
        <sz val="12"/>
        <color rgb="FFFF0000"/>
        <rFont val="맑은 고딕"/>
        <family val="3"/>
        <charset val="129"/>
        <scheme val="minor"/>
      </rPr>
      <t xml:space="preserve"> *</t>
    </r>
    <phoneticPr fontId="2" type="noConversion"/>
  </si>
  <si>
    <r>
      <t>Target year</t>
    </r>
    <r>
      <rPr>
        <b/>
        <sz val="12"/>
        <color rgb="FFFF0000"/>
        <rFont val="맑은 고딕"/>
        <family val="3"/>
        <charset val="129"/>
        <scheme val="minor"/>
      </rPr>
      <t xml:space="preserve"> *</t>
    </r>
    <phoneticPr fontId="2" type="noConversion"/>
  </si>
  <si>
    <r>
      <t>Emissions of the base year</t>
    </r>
    <r>
      <rPr>
        <b/>
        <sz val="12"/>
        <color rgb="FFFF0000"/>
        <rFont val="맑은 고딕"/>
        <family val="3"/>
        <charset val="129"/>
        <scheme val="minor"/>
      </rPr>
      <t xml:space="preserve"> *</t>
    </r>
    <r>
      <rPr>
        <b/>
        <sz val="12"/>
        <color theme="0"/>
        <rFont val="맑은 고딕"/>
        <family val="3"/>
        <charset val="129"/>
        <scheme val="minor"/>
      </rPr>
      <t xml:space="preserve">
(tonCO</t>
    </r>
    <r>
      <rPr>
        <b/>
        <vertAlign val="subscript"/>
        <sz val="12"/>
        <color theme="0"/>
        <rFont val="맑은 고딕"/>
        <family val="3"/>
        <charset val="129"/>
        <scheme val="minor"/>
      </rPr>
      <t>2</t>
    </r>
    <r>
      <rPr>
        <b/>
        <sz val="12"/>
        <color theme="0"/>
        <rFont val="맑은 고딕"/>
        <family val="3"/>
        <charset val="129"/>
        <scheme val="minor"/>
      </rPr>
      <t>eq/year)</t>
    </r>
    <phoneticPr fontId="2" type="noConversion"/>
  </si>
  <si>
    <r>
      <t>Emissions of target year</t>
    </r>
    <r>
      <rPr>
        <b/>
        <sz val="12"/>
        <color rgb="FFFF0000"/>
        <rFont val="맑은 고딕"/>
        <family val="3"/>
        <charset val="129"/>
        <scheme val="minor"/>
      </rPr>
      <t xml:space="preserve"> *</t>
    </r>
    <r>
      <rPr>
        <b/>
        <sz val="12"/>
        <color theme="0"/>
        <rFont val="맑은 고딕"/>
        <family val="3"/>
        <charset val="129"/>
        <scheme val="minor"/>
      </rPr>
      <t xml:space="preserve">
(tonCO</t>
    </r>
    <r>
      <rPr>
        <b/>
        <vertAlign val="subscript"/>
        <sz val="12"/>
        <color theme="0"/>
        <rFont val="맑은 고딕"/>
        <family val="3"/>
        <charset val="129"/>
        <scheme val="minor"/>
      </rPr>
      <t>2</t>
    </r>
    <r>
      <rPr>
        <b/>
        <sz val="12"/>
        <color theme="0"/>
        <rFont val="맑은 고딕"/>
        <family val="3"/>
        <charset val="129"/>
        <scheme val="minor"/>
      </rPr>
      <t>eq/year)</t>
    </r>
    <phoneticPr fontId="2" type="noConversion"/>
  </si>
  <si>
    <r>
      <t xml:space="preserve">SBTi Validation? </t>
    </r>
    <r>
      <rPr>
        <b/>
        <sz val="12"/>
        <color rgb="FFFF0000"/>
        <rFont val="맑은 고딕"/>
        <family val="3"/>
        <charset val="129"/>
        <scheme val="minor"/>
      </rPr>
      <t>*</t>
    </r>
    <phoneticPr fontId="2" type="noConversion"/>
  </si>
  <si>
    <r>
      <t xml:space="preserve">1.1 Do you have a GHG Emissions target? </t>
    </r>
    <r>
      <rPr>
        <b/>
        <sz val="12"/>
        <color rgb="FFFF0000"/>
        <rFont val="맑은 고딕"/>
        <family val="3"/>
        <charset val="129"/>
        <scheme val="minor"/>
      </rPr>
      <t>*</t>
    </r>
    <phoneticPr fontId="2" type="noConversion"/>
  </si>
  <si>
    <r>
      <t>1.3 (If No) Do you have  any plans to establish a GHG Emissions target?</t>
    </r>
    <r>
      <rPr>
        <b/>
        <sz val="12"/>
        <color rgb="FFFF0000"/>
        <rFont val="맑은 고딕"/>
        <family val="3"/>
        <charset val="129"/>
        <scheme val="minor"/>
      </rPr>
      <t xml:space="preserve"> *</t>
    </r>
    <phoneticPr fontId="2" type="noConversion"/>
  </si>
  <si>
    <r>
      <t>2.1 Do you have a Net zero target?</t>
    </r>
    <r>
      <rPr>
        <b/>
        <sz val="12"/>
        <color rgb="FFFF0000"/>
        <rFont val="맑은 고딕"/>
        <family val="3"/>
        <charset val="129"/>
        <scheme val="minor"/>
      </rPr>
      <t xml:space="preserve">  *</t>
    </r>
    <phoneticPr fontId="2" type="noConversion"/>
  </si>
  <si>
    <r>
      <t>Scope</t>
    </r>
    <r>
      <rPr>
        <b/>
        <sz val="12"/>
        <color rgb="FFFF0000"/>
        <rFont val="맑은 고딕"/>
        <family val="3"/>
        <charset val="129"/>
        <scheme val="minor"/>
      </rPr>
      <t xml:space="preserve"> *</t>
    </r>
    <phoneticPr fontId="2" type="noConversion"/>
  </si>
  <si>
    <r>
      <t xml:space="preserve">Target year </t>
    </r>
    <r>
      <rPr>
        <b/>
        <sz val="12"/>
        <color rgb="FFFF0000"/>
        <rFont val="맑은 고딕"/>
        <family val="3"/>
        <charset val="129"/>
        <scheme val="minor"/>
      </rPr>
      <t>*</t>
    </r>
    <phoneticPr fontId="2" type="noConversion"/>
  </si>
  <si>
    <r>
      <t>Emissions in 2030</t>
    </r>
    <r>
      <rPr>
        <b/>
        <sz val="12"/>
        <color rgb="FFFF0000"/>
        <rFont val="맑은 고딕"/>
        <family val="3"/>
        <charset val="129"/>
        <scheme val="minor"/>
      </rPr>
      <t xml:space="preserve"> *</t>
    </r>
    <r>
      <rPr>
        <b/>
        <sz val="12"/>
        <color theme="0"/>
        <rFont val="맑은 고딕"/>
        <family val="3"/>
        <charset val="129"/>
        <scheme val="minor"/>
      </rPr>
      <t xml:space="preserve">
(tonCO</t>
    </r>
    <r>
      <rPr>
        <b/>
        <vertAlign val="subscript"/>
        <sz val="12"/>
        <color theme="0"/>
        <rFont val="맑은 고딕"/>
        <family val="3"/>
        <charset val="129"/>
        <scheme val="minor"/>
      </rPr>
      <t>2</t>
    </r>
    <r>
      <rPr>
        <b/>
        <sz val="12"/>
        <color theme="0"/>
        <rFont val="맑은 고딕"/>
        <family val="3"/>
        <charset val="129"/>
        <scheme val="minor"/>
      </rPr>
      <t>eq/year)</t>
    </r>
    <phoneticPr fontId="2" type="noConversion"/>
  </si>
  <si>
    <r>
      <t>Emissions in 2040</t>
    </r>
    <r>
      <rPr>
        <b/>
        <sz val="12"/>
        <color rgb="FFFF0000"/>
        <rFont val="맑은 고딕"/>
        <family val="3"/>
        <charset val="129"/>
        <scheme val="minor"/>
      </rPr>
      <t xml:space="preserve"> *</t>
    </r>
    <r>
      <rPr>
        <b/>
        <sz val="12"/>
        <color theme="0"/>
        <rFont val="맑은 고딕"/>
        <family val="3"/>
        <charset val="129"/>
        <scheme val="minor"/>
      </rPr>
      <t xml:space="preserve">
(tonCO</t>
    </r>
    <r>
      <rPr>
        <b/>
        <vertAlign val="subscript"/>
        <sz val="12"/>
        <color theme="0"/>
        <rFont val="맑은 고딕"/>
        <family val="3"/>
        <charset val="129"/>
        <scheme val="minor"/>
      </rPr>
      <t>2</t>
    </r>
    <r>
      <rPr>
        <b/>
        <sz val="12"/>
        <color theme="0"/>
        <rFont val="맑은 고딕"/>
        <family val="3"/>
        <charset val="129"/>
        <scheme val="minor"/>
      </rPr>
      <t>eq/year)</t>
    </r>
    <phoneticPr fontId="2" type="noConversion"/>
  </si>
  <si>
    <r>
      <t>Emissions in 2050</t>
    </r>
    <r>
      <rPr>
        <b/>
        <sz val="12"/>
        <color rgb="FFFF0000"/>
        <rFont val="맑은 고딕"/>
        <family val="3"/>
        <charset val="129"/>
        <scheme val="minor"/>
      </rPr>
      <t xml:space="preserve"> *</t>
    </r>
    <r>
      <rPr>
        <b/>
        <sz val="12"/>
        <color theme="0"/>
        <rFont val="맑은 고딕"/>
        <family val="3"/>
        <charset val="129"/>
        <scheme val="minor"/>
      </rPr>
      <t xml:space="preserve">
(tonCO</t>
    </r>
    <r>
      <rPr>
        <b/>
        <vertAlign val="subscript"/>
        <sz val="12"/>
        <color theme="0"/>
        <rFont val="맑은 고딕"/>
        <family val="3"/>
        <charset val="129"/>
        <scheme val="minor"/>
      </rPr>
      <t>2</t>
    </r>
    <r>
      <rPr>
        <b/>
        <sz val="12"/>
        <color theme="0"/>
        <rFont val="맑은 고딕"/>
        <family val="3"/>
        <charset val="129"/>
        <scheme val="minor"/>
      </rPr>
      <t>eq/year)</t>
    </r>
    <phoneticPr fontId="2" type="noConversion"/>
  </si>
  <si>
    <r>
      <t>SBTi Validation?</t>
    </r>
    <r>
      <rPr>
        <b/>
        <sz val="12"/>
        <color rgb="FFFF0000"/>
        <rFont val="맑은 고딕"/>
        <family val="3"/>
        <charset val="129"/>
        <scheme val="minor"/>
      </rPr>
      <t xml:space="preserve"> *</t>
    </r>
    <phoneticPr fontId="2" type="noConversion"/>
  </si>
  <si>
    <r>
      <t xml:space="preserve">1.3 (If No) Do you have any plans to establish a Net zero target?  </t>
    </r>
    <r>
      <rPr>
        <b/>
        <sz val="12"/>
        <color rgb="FFFF0000"/>
        <rFont val="맑은 고딕"/>
        <family val="3"/>
        <charset val="129"/>
        <scheme val="minor"/>
      </rPr>
      <t xml:space="preserve">* </t>
    </r>
    <phoneticPr fontId="2" type="noConversion"/>
  </si>
  <si>
    <r>
      <t xml:space="preserve">3.1 Do you have a RE100 target? </t>
    </r>
    <r>
      <rPr>
        <b/>
        <sz val="12"/>
        <color rgb="FFFF0000"/>
        <rFont val="맑은 고딕"/>
        <family val="3"/>
        <charset val="129"/>
        <scheme val="minor"/>
      </rPr>
      <t>*</t>
    </r>
    <phoneticPr fontId="2" type="noConversion"/>
  </si>
  <si>
    <r>
      <t xml:space="preserve">Type </t>
    </r>
    <r>
      <rPr>
        <b/>
        <sz val="12"/>
        <color rgb="FFFF0000"/>
        <rFont val="맑은 고딕"/>
        <family val="3"/>
        <charset val="129"/>
        <scheme val="minor"/>
      </rPr>
      <t>*</t>
    </r>
    <phoneticPr fontId="2" type="noConversion"/>
  </si>
  <si>
    <r>
      <t xml:space="preserve">Join year </t>
    </r>
    <r>
      <rPr>
        <b/>
        <sz val="12"/>
        <color rgb="FFFF0000"/>
        <rFont val="맑은 고딕"/>
        <family val="3"/>
        <charset val="129"/>
        <scheme val="minor"/>
      </rPr>
      <t>*</t>
    </r>
    <phoneticPr fontId="2" type="noConversion"/>
  </si>
  <si>
    <r>
      <t xml:space="preserve">Base year </t>
    </r>
    <r>
      <rPr>
        <b/>
        <sz val="12"/>
        <color rgb="FFFF0000"/>
        <rFont val="맑은 고딕"/>
        <family val="3"/>
        <charset val="129"/>
        <scheme val="minor"/>
      </rPr>
      <t>*</t>
    </r>
    <phoneticPr fontId="2" type="noConversion"/>
  </si>
  <si>
    <r>
      <t xml:space="preserve">% of renewable power used 
in the base year </t>
    </r>
    <r>
      <rPr>
        <b/>
        <sz val="12"/>
        <color rgb="FFFF0000"/>
        <rFont val="맑은 고딕"/>
        <family val="3"/>
        <charset val="129"/>
        <scheme val="minor"/>
      </rPr>
      <t>*</t>
    </r>
    <phoneticPr fontId="2" type="noConversion"/>
  </si>
  <si>
    <r>
      <t xml:space="preserve">% of renewable power used
in 2030 </t>
    </r>
    <r>
      <rPr>
        <b/>
        <sz val="12"/>
        <color rgb="FFFF0000"/>
        <rFont val="맑은 고딕"/>
        <family val="3"/>
        <charset val="129"/>
        <scheme val="minor"/>
      </rPr>
      <t>*</t>
    </r>
    <phoneticPr fontId="2" type="noConversion"/>
  </si>
  <si>
    <r>
      <t xml:space="preserve">% of renewable power used
in 2040 </t>
    </r>
    <r>
      <rPr>
        <b/>
        <sz val="12"/>
        <color rgb="FFFF0000"/>
        <rFont val="맑은 고딕"/>
        <family val="3"/>
        <charset val="129"/>
        <scheme val="minor"/>
      </rPr>
      <t>*</t>
    </r>
    <phoneticPr fontId="2" type="noConversion"/>
  </si>
  <si>
    <r>
      <t xml:space="preserve">% of renewable power used
in 2050 </t>
    </r>
    <r>
      <rPr>
        <b/>
        <sz val="12"/>
        <color rgb="FFFF0000"/>
        <rFont val="맑은 고딕"/>
        <family val="3"/>
        <charset val="129"/>
        <scheme val="minor"/>
      </rPr>
      <t>*</t>
    </r>
    <phoneticPr fontId="2" type="noConversion"/>
  </si>
  <si>
    <r>
      <t xml:space="preserve">1.3 (If No) Do you have any plans to join in RE100? </t>
    </r>
    <r>
      <rPr>
        <b/>
        <sz val="12"/>
        <color rgb="FFFF0000"/>
        <rFont val="맑은 고딕"/>
        <family val="3"/>
        <charset val="129"/>
        <scheme val="minor"/>
      </rPr>
      <t>*</t>
    </r>
    <phoneticPr fontId="2" type="noConversion"/>
  </si>
  <si>
    <r>
      <t xml:space="preserve">Base year of Target </t>
    </r>
    <r>
      <rPr>
        <b/>
        <sz val="11"/>
        <color rgb="FFFF0000"/>
        <rFont val="맑은 고딕"/>
        <family val="3"/>
        <charset val="129"/>
        <scheme val="minor"/>
      </rPr>
      <t>*</t>
    </r>
    <r>
      <rPr>
        <b/>
        <sz val="11"/>
        <color theme="0"/>
        <rFont val="맑은 고딕"/>
        <family val="3"/>
        <charset val="129"/>
        <scheme val="minor"/>
      </rPr>
      <t xml:space="preserve">
(tCO</t>
    </r>
    <r>
      <rPr>
        <b/>
        <vertAlign val="subscript"/>
        <sz val="11"/>
        <color theme="0"/>
        <rFont val="맑은 고딕"/>
        <family val="3"/>
        <charset val="129"/>
        <scheme val="minor"/>
      </rPr>
      <t>2</t>
    </r>
    <r>
      <rPr>
        <b/>
        <sz val="11"/>
        <color theme="0"/>
        <rFont val="맑은 고딕"/>
        <family val="3"/>
        <charset val="129"/>
        <scheme val="minor"/>
      </rPr>
      <t>eq/year)</t>
    </r>
    <phoneticPr fontId="2" type="noConversion"/>
  </si>
  <si>
    <r>
      <t xml:space="preserve">Representative Calculation method </t>
    </r>
    <r>
      <rPr>
        <b/>
        <sz val="11"/>
        <color rgb="FFFF0000"/>
        <rFont val="맑은 고딕"/>
        <family val="3"/>
        <charset val="129"/>
        <scheme val="minor"/>
      </rPr>
      <t>*</t>
    </r>
    <r>
      <rPr>
        <b/>
        <sz val="11"/>
        <color theme="0"/>
        <rFont val="맑은 고딕"/>
        <family val="3"/>
        <charset val="129"/>
        <scheme val="minor"/>
      </rPr>
      <t xml:space="preserve">
(Scope 3)</t>
    </r>
    <phoneticPr fontId="2" type="noConversion"/>
  </si>
  <si>
    <r>
      <t xml:space="preserve">Reporting year(Y 2023) </t>
    </r>
    <r>
      <rPr>
        <b/>
        <sz val="11"/>
        <color rgb="FFFF0000"/>
        <rFont val="맑은 고딕"/>
        <family val="3"/>
        <charset val="129"/>
        <scheme val="minor"/>
      </rPr>
      <t>*</t>
    </r>
    <r>
      <rPr>
        <b/>
        <sz val="11"/>
        <color theme="0"/>
        <rFont val="맑은 고딕"/>
        <family val="3"/>
        <charset val="129"/>
        <scheme val="minor"/>
      </rPr>
      <t xml:space="preserve">
(tCO</t>
    </r>
    <r>
      <rPr>
        <b/>
        <vertAlign val="subscript"/>
        <sz val="11"/>
        <color theme="0"/>
        <rFont val="맑은 고딕"/>
        <family val="3"/>
        <charset val="129"/>
        <scheme val="minor"/>
      </rPr>
      <t>2</t>
    </r>
    <r>
      <rPr>
        <b/>
        <sz val="11"/>
        <color theme="0"/>
        <rFont val="맑은 고딕"/>
        <family val="3"/>
        <charset val="129"/>
        <scheme val="minor"/>
      </rPr>
      <t>eq/year)</t>
    </r>
    <phoneticPr fontId="2" type="noConversion"/>
  </si>
  <si>
    <r>
      <t>Name of the factory</t>
    </r>
    <r>
      <rPr>
        <b/>
        <sz val="11"/>
        <color rgb="FFFF0000"/>
        <rFont val="맑은 고딕"/>
        <family val="3"/>
        <charset val="129"/>
        <scheme val="minor"/>
      </rPr>
      <t xml:space="preserve"> *</t>
    </r>
    <phoneticPr fontId="2" type="noConversion"/>
  </si>
  <si>
    <r>
      <t>Country</t>
    </r>
    <r>
      <rPr>
        <b/>
        <sz val="11"/>
        <color rgb="FFFF0000"/>
        <rFont val="맑은 고딕"/>
        <family val="3"/>
        <charset val="129"/>
        <scheme val="minor"/>
      </rPr>
      <t xml:space="preserve"> *</t>
    </r>
    <phoneticPr fontId="2" type="noConversion"/>
  </si>
  <si>
    <r>
      <t>City</t>
    </r>
    <r>
      <rPr>
        <b/>
        <sz val="11"/>
        <color rgb="FFFF0000"/>
        <rFont val="맑은 고딕"/>
        <family val="3"/>
        <charset val="129"/>
        <scheme val="minor"/>
      </rPr>
      <t xml:space="preserve"> *</t>
    </r>
    <phoneticPr fontId="2" type="noConversion"/>
  </si>
  <si>
    <r>
      <t xml:space="preserve">Address </t>
    </r>
    <r>
      <rPr>
        <b/>
        <sz val="11"/>
        <color rgb="FFFF0000"/>
        <rFont val="맑은 고딕"/>
        <family val="3"/>
        <charset val="129"/>
        <scheme val="minor"/>
      </rPr>
      <t>*</t>
    </r>
    <phoneticPr fontId="2" type="noConversion"/>
  </si>
  <si>
    <r>
      <t xml:space="preserve">Major manufacturing products for SBL </t>
    </r>
    <r>
      <rPr>
        <b/>
        <sz val="11"/>
        <color rgb="FFFF0000"/>
        <rFont val="맑은 고딕"/>
        <family val="3"/>
        <charset val="129"/>
        <scheme val="minor"/>
      </rPr>
      <t>*</t>
    </r>
    <phoneticPr fontId="2" type="noConversion"/>
  </si>
  <si>
    <r>
      <t xml:space="preserve">Percentages of the supplied products to SBL out of total production of this factory </t>
    </r>
    <r>
      <rPr>
        <b/>
        <sz val="11"/>
        <color rgb="FFFF0000"/>
        <rFont val="맑은 고딕"/>
        <family val="3"/>
        <charset val="129"/>
        <scheme val="minor"/>
      </rPr>
      <t xml:space="preserve">*
</t>
    </r>
    <r>
      <rPr>
        <b/>
        <sz val="11"/>
        <color theme="0"/>
        <rFont val="맑은 고딕"/>
        <family val="3"/>
        <charset val="129"/>
        <scheme val="minor"/>
      </rPr>
      <t>(%)</t>
    </r>
    <phoneticPr fontId="2" type="noConversion"/>
  </si>
  <si>
    <r>
      <t xml:space="preserve">Percentages of the supplied products to SBL from this factory out of total supplied products to SBL from your company </t>
    </r>
    <r>
      <rPr>
        <b/>
        <sz val="11"/>
        <color rgb="FFFF0000"/>
        <rFont val="맑은 고딕"/>
        <family val="3"/>
        <charset val="129"/>
        <scheme val="minor"/>
      </rPr>
      <t xml:space="preserve">*
</t>
    </r>
    <r>
      <rPr>
        <b/>
        <sz val="11"/>
        <color theme="0"/>
        <rFont val="맑은 고딕"/>
        <family val="3"/>
        <charset val="129"/>
        <scheme val="minor"/>
      </rPr>
      <t>(%)</t>
    </r>
    <phoneticPr fontId="2" type="noConversion"/>
  </si>
  <si>
    <r>
      <t xml:space="preserve">Description of the rationale for percentages of the supplied products to SBL </t>
    </r>
    <r>
      <rPr>
        <b/>
        <sz val="11"/>
        <color rgb="FFFF0000"/>
        <rFont val="맑은 고딕"/>
        <family val="3"/>
        <charset val="129"/>
        <scheme val="minor"/>
      </rPr>
      <t>*</t>
    </r>
    <phoneticPr fontId="2" type="noConversion"/>
  </si>
  <si>
    <r>
      <t xml:space="preserve">Energy usage for the reporting year </t>
    </r>
    <r>
      <rPr>
        <b/>
        <sz val="11"/>
        <color rgb="FFFF0000"/>
        <rFont val="Arial"/>
        <family val="2"/>
      </rPr>
      <t>*</t>
    </r>
    <phoneticPr fontId="2" type="noConversion"/>
  </si>
  <si>
    <r>
      <t xml:space="preserve">SBL's portion (%) </t>
    </r>
    <r>
      <rPr>
        <b/>
        <sz val="11"/>
        <color rgb="FFFF0000"/>
        <rFont val="Arial"/>
        <family val="2"/>
      </rPr>
      <t>*</t>
    </r>
    <phoneticPr fontId="2" type="noConversion"/>
  </si>
  <si>
    <r>
      <t xml:space="preserve">Scope of GHG emission </t>
    </r>
    <r>
      <rPr>
        <b/>
        <sz val="11"/>
        <color rgb="FFFF0000"/>
        <rFont val="Arial"/>
        <family val="2"/>
      </rPr>
      <t>*</t>
    </r>
    <phoneticPr fontId="2" type="noConversion"/>
  </si>
  <si>
    <r>
      <t xml:space="preserve">GHG emissions for SBL </t>
    </r>
    <r>
      <rPr>
        <b/>
        <sz val="11"/>
        <color rgb="FFFF0000"/>
        <rFont val="Arial"/>
        <family val="2"/>
      </rPr>
      <t>*</t>
    </r>
    <r>
      <rPr>
        <b/>
        <sz val="11"/>
        <color theme="0"/>
        <rFont val="Arial"/>
        <family val="2"/>
      </rPr>
      <t xml:space="preserve">
(tCO</t>
    </r>
    <r>
      <rPr>
        <b/>
        <vertAlign val="subscript"/>
        <sz val="11"/>
        <color theme="0"/>
        <rFont val="Arial"/>
        <family val="2"/>
      </rPr>
      <t>2</t>
    </r>
    <r>
      <rPr>
        <b/>
        <sz val="11"/>
        <color theme="0"/>
        <rFont val="Arial"/>
        <family val="2"/>
      </rPr>
      <t>eq/year)</t>
    </r>
    <phoneticPr fontId="2" type="noConversion"/>
  </si>
  <si>
    <r>
      <t xml:space="preserve">Water usage for the reporting year </t>
    </r>
    <r>
      <rPr>
        <b/>
        <sz val="11"/>
        <color rgb="FFFF0000"/>
        <rFont val="Arial"/>
        <family val="2"/>
      </rPr>
      <t>*</t>
    </r>
    <phoneticPr fontId="2" type="noConversion"/>
  </si>
  <si>
    <r>
      <t xml:space="preserve">Waste disposal volume for the reporting year </t>
    </r>
    <r>
      <rPr>
        <b/>
        <sz val="11"/>
        <color rgb="FFFF0000"/>
        <rFont val="Arial"/>
        <family val="2"/>
      </rPr>
      <t>*</t>
    </r>
    <phoneticPr fontId="2" type="noConversion"/>
  </si>
  <si>
    <r>
      <t xml:space="preserve">Product name </t>
    </r>
    <r>
      <rPr>
        <b/>
        <sz val="11"/>
        <color rgb="FFFF0000"/>
        <rFont val="Arial"/>
        <family val="2"/>
      </rPr>
      <t>*</t>
    </r>
    <phoneticPr fontId="2" type="noConversion"/>
  </si>
  <si>
    <r>
      <t xml:space="preserve">Name of Material that makes up the largest weight of the product </t>
    </r>
    <r>
      <rPr>
        <b/>
        <sz val="11"/>
        <color rgb="FFFF0000"/>
        <rFont val="Arial"/>
        <family val="2"/>
      </rPr>
      <t>*</t>
    </r>
    <r>
      <rPr>
        <b/>
        <sz val="11"/>
        <color theme="0"/>
        <rFont val="Arial"/>
        <family val="2"/>
      </rPr>
      <t xml:space="preserve">
(exclude water)</t>
    </r>
    <phoneticPr fontId="2" type="noConversion"/>
  </si>
  <si>
    <r>
      <t xml:space="preserve">Material classification </t>
    </r>
    <r>
      <rPr>
        <b/>
        <sz val="11"/>
        <color rgb="FFFF0000"/>
        <rFont val="Arial"/>
        <family val="2"/>
      </rPr>
      <t>*</t>
    </r>
    <phoneticPr fontId="2" type="noConversion"/>
  </si>
  <si>
    <r>
      <t xml:space="preserve">Material's weight portion of the product </t>
    </r>
    <r>
      <rPr>
        <b/>
        <sz val="11"/>
        <color rgb="FFFF0000"/>
        <rFont val="Arial"/>
        <family val="2"/>
      </rPr>
      <t>*</t>
    </r>
    <r>
      <rPr>
        <b/>
        <sz val="11"/>
        <color theme="0"/>
        <rFont val="Arial"/>
        <family val="2"/>
      </rPr>
      <t xml:space="preserve"> 
(%)</t>
    </r>
    <phoneticPr fontId="2" type="noConversion"/>
  </si>
  <si>
    <r>
      <t xml:space="preserve">Substances name of material </t>
    </r>
    <r>
      <rPr>
        <b/>
        <sz val="11"/>
        <color rgb="FFFF0000"/>
        <rFont val="Arial"/>
        <family val="2"/>
      </rPr>
      <t>*</t>
    </r>
    <phoneticPr fontId="2" type="noConversion"/>
  </si>
  <si>
    <r>
      <t xml:space="preserve">Substance classification </t>
    </r>
    <r>
      <rPr>
        <b/>
        <sz val="11"/>
        <color rgb="FFFF0000"/>
        <rFont val="Arial"/>
        <family val="2"/>
      </rPr>
      <t>*</t>
    </r>
    <phoneticPr fontId="2" type="noConversion"/>
  </si>
  <si>
    <t>* Scope 3 emissions allocated to the production of products supplied to Samsung Biologics</t>
    <phoneticPr fontId="2" type="noConversion"/>
  </si>
  <si>
    <t>* PCF: Product Carbon Footprint</t>
    <phoneticPr fontId="2" type="noConversion"/>
  </si>
  <si>
    <r>
      <t xml:space="preserve">A description of what percentage of total emissions are due to products supplied to the SBL. </t>
    </r>
    <r>
      <rPr>
        <b/>
        <sz val="11"/>
        <color rgb="FFFF0000"/>
        <rFont val="맑은 고딕"/>
        <family val="3"/>
        <charset val="129"/>
        <scheme val="minor"/>
      </rPr>
      <t>*</t>
    </r>
    <phoneticPr fontId="2" type="noConversion"/>
  </si>
  <si>
    <r>
      <t xml:space="preserve">% of total emissions due to SBL products </t>
    </r>
    <r>
      <rPr>
        <b/>
        <sz val="11"/>
        <color rgb="FFFF0000"/>
        <rFont val="맑은 고딕"/>
        <family val="3"/>
        <charset val="129"/>
        <scheme val="minor"/>
      </rPr>
      <t>*</t>
    </r>
    <r>
      <rPr>
        <b/>
        <sz val="11"/>
        <color theme="0"/>
        <rFont val="맑은 고딕"/>
        <family val="3"/>
        <charset val="129"/>
        <scheme val="minor"/>
      </rPr>
      <t xml:space="preserve">
(Reporting year)</t>
    </r>
    <phoneticPr fontId="2" type="noConversion"/>
  </si>
  <si>
    <r>
      <t xml:space="preserve">Use/Not use </t>
    </r>
    <r>
      <rPr>
        <b/>
        <sz val="11"/>
        <color rgb="FFFF0000"/>
        <rFont val="Arial"/>
        <family val="2"/>
      </rPr>
      <t>*</t>
    </r>
    <phoneticPr fontId="2" type="noConversion"/>
  </si>
  <si>
    <r>
      <t xml:space="preserve">Dispose
/Not dispose </t>
    </r>
    <r>
      <rPr>
        <b/>
        <sz val="11"/>
        <color rgb="FFFF0000"/>
        <rFont val="Arial"/>
        <family val="2"/>
      </rPr>
      <t>*</t>
    </r>
    <phoneticPr fontId="2" type="noConversion"/>
  </si>
  <si>
    <t>Dispose</t>
  </si>
  <si>
    <t xml:space="preserve">Disposal method - Waste type </t>
    <phoneticPr fontId="2" type="noConversion"/>
  </si>
  <si>
    <t>Waste water treatment-Waste water</t>
    <phoneticPr fontId="2" type="noConversion"/>
  </si>
  <si>
    <t>Sewage treatment-Sewage</t>
    <phoneticPr fontId="2" type="noConversion"/>
  </si>
  <si>
    <r>
      <t xml:space="preserve">Note </t>
    </r>
    <r>
      <rPr>
        <b/>
        <sz val="11"/>
        <color rgb="FFFF0000"/>
        <rFont val="Arial"/>
        <family val="2"/>
      </rPr>
      <t xml:space="preserve">*
</t>
    </r>
    <r>
      <rPr>
        <b/>
        <sz val="11"/>
        <color theme="0"/>
        <rFont val="Arial"/>
        <family val="2"/>
      </rPr>
      <t>(Description about the percentage related to SBL)</t>
    </r>
    <phoneticPr fontId="2" type="noConversion"/>
  </si>
  <si>
    <r>
      <t xml:space="preserve">Note </t>
    </r>
    <r>
      <rPr>
        <b/>
        <sz val="11"/>
        <color rgb="FFFF0000"/>
        <rFont val="Arial"/>
        <family val="2"/>
      </rPr>
      <t>*</t>
    </r>
    <r>
      <rPr>
        <b/>
        <sz val="11"/>
        <color theme="0"/>
        <rFont val="Arial"/>
        <family val="2"/>
      </rPr>
      <t xml:space="preserve">
(Description about the percentage related to SBL)</t>
    </r>
    <phoneticPr fontId="2" type="noConversion"/>
  </si>
  <si>
    <r>
      <t xml:space="preserve">Description </t>
    </r>
    <r>
      <rPr>
        <b/>
        <sz val="11"/>
        <color rgb="FFFF0000"/>
        <rFont val="Arial"/>
        <family val="2"/>
      </rPr>
      <t xml:space="preserve">* 
</t>
    </r>
    <r>
      <rPr>
        <b/>
        <sz val="11"/>
        <color theme="0"/>
        <rFont val="Arial"/>
        <family val="2"/>
      </rPr>
      <t>(Names and descriptions of other material types)</t>
    </r>
    <phoneticPr fontId="2" type="noConversion"/>
  </si>
  <si>
    <t>* Product code(SBL) : 7-digit SBL material code starting with 1 or 9</t>
    <phoneticPr fontId="2" type="noConversion"/>
  </si>
  <si>
    <t xml:space="preserve">  Required to link products from suppliers to materials in the SBL. </t>
    <phoneticPr fontId="2" type="noConversion"/>
  </si>
  <si>
    <r>
      <t xml:space="preserve">3rd party verification of reporting year emissions </t>
    </r>
    <r>
      <rPr>
        <b/>
        <sz val="11"/>
        <color rgb="FFFF0000"/>
        <rFont val="맑은 고딕"/>
        <family val="3"/>
        <charset val="129"/>
        <scheme val="minor"/>
      </rPr>
      <t>*</t>
    </r>
    <phoneticPr fontId="2" type="noConversion"/>
  </si>
  <si>
    <r>
      <t xml:space="preserve">Life cycle climate change impact </t>
    </r>
    <r>
      <rPr>
        <b/>
        <sz val="11"/>
        <color rgb="FFFF0000"/>
        <rFont val="Arial"/>
        <family val="2"/>
      </rPr>
      <t>*</t>
    </r>
    <r>
      <rPr>
        <b/>
        <sz val="11"/>
        <color theme="0"/>
        <rFont val="Arial"/>
        <family val="2"/>
      </rPr>
      <t xml:space="preserve">
(kgCO</t>
    </r>
    <r>
      <rPr>
        <b/>
        <vertAlign val="subscript"/>
        <sz val="11"/>
        <color theme="0"/>
        <rFont val="Arial"/>
        <family val="2"/>
      </rPr>
      <t>2</t>
    </r>
    <r>
      <rPr>
        <b/>
        <sz val="11"/>
        <color theme="0"/>
        <rFont val="Arial"/>
        <family val="2"/>
      </rPr>
      <t>eq/ton)</t>
    </r>
    <phoneticPr fontId="2" type="noConversion"/>
  </si>
  <si>
    <r>
      <t xml:space="preserve">Life cycle climate change impact </t>
    </r>
    <r>
      <rPr>
        <b/>
        <sz val="11"/>
        <color rgb="FFFF0000"/>
        <rFont val="Arial"/>
        <family val="2"/>
      </rPr>
      <t>*</t>
    </r>
    <r>
      <rPr>
        <b/>
        <sz val="11"/>
        <color theme="0"/>
        <rFont val="Arial"/>
        <family val="2"/>
      </rPr>
      <t xml:space="preserve">
(kgCO</t>
    </r>
    <r>
      <rPr>
        <b/>
        <vertAlign val="subscript"/>
        <sz val="11"/>
        <color theme="0"/>
        <rFont val="Arial"/>
        <family val="2"/>
      </rPr>
      <t>2</t>
    </r>
    <r>
      <rPr>
        <b/>
        <sz val="11"/>
        <color theme="0"/>
        <rFont val="Arial"/>
        <family val="2"/>
      </rPr>
      <t>eq/kg)</t>
    </r>
    <phoneticPr fontId="2" type="noConversion"/>
  </si>
  <si>
    <r>
      <rPr>
        <b/>
        <sz val="11"/>
        <color theme="1"/>
        <rFont val="Arial Unicode MS"/>
        <family val="2"/>
        <charset val="129"/>
      </rPr>
      <t>※</t>
    </r>
    <r>
      <rPr>
        <b/>
        <sz val="11"/>
        <color theme="1"/>
        <rFont val="Arial"/>
        <family val="2"/>
      </rPr>
      <t xml:space="preserve"> Criteria by the cell color</t>
    </r>
    <phoneticPr fontId="2" type="noConversion"/>
  </si>
  <si>
    <t xml:space="preserve">The survey is following the Corporate Value Chain(Scope 3) Standard of Greenhouse Gas Protocol.
It is based on the Scope 3 Calculation Guidance of Greenhouse Gas Protocol. </t>
    <phoneticPr fontId="2" type="noConversion"/>
  </si>
  <si>
    <t>Products supplied to Samsung Biologics during the reporting period.
The entire factories producing products supplied to Samsung Biologics.</t>
    <phoneticPr fontId="2" type="noConversion"/>
  </si>
  <si>
    <t>Fill in according to the order of operation, "Required" items must be filled out, and "Required (some exceptions)" may not be filled out if the exception conditions apply. "Select" is written if relevant, or "None" if not relevant</t>
    <phoneticPr fontId="2" type="noConversion"/>
  </si>
  <si>
    <t>Scope 1+2</t>
  </si>
  <si>
    <t xml:space="preserve">In 2 years </t>
  </si>
  <si>
    <t>Not yet</t>
  </si>
  <si>
    <t>Yes and calculated</t>
  </si>
  <si>
    <t>No and not calculated</t>
  </si>
  <si>
    <r>
      <t xml:space="preserve">Relevent &amp; Calculation </t>
    </r>
    <r>
      <rPr>
        <b/>
        <sz val="11"/>
        <color rgb="FFFF0000"/>
        <rFont val="맑은 고딕"/>
        <family val="3"/>
        <charset val="129"/>
        <scheme val="minor"/>
      </rPr>
      <t>*</t>
    </r>
    <phoneticPr fontId="2" type="noConversion"/>
  </si>
  <si>
    <t>No</t>
  </si>
  <si>
    <t xml:space="preserve">No plan </t>
  </si>
  <si>
    <t>Scope 3</t>
  </si>
  <si>
    <t>Not verified</t>
  </si>
  <si>
    <t>papers</t>
  </si>
  <si>
    <t>Paper bag and coated and treated paper manufacturing</t>
    <phoneticPr fontId="2" type="noConversion"/>
  </si>
  <si>
    <t>No and not calculated</t>
    <phoneticPr fontId="2" type="noConversion"/>
  </si>
  <si>
    <t>Yes and calculated</t>
    <phoneticPr fontId="2" type="noConversion"/>
  </si>
  <si>
    <t>Distance-based method</t>
  </si>
  <si>
    <t>SAMHWADANG P&amp;T</t>
    <phoneticPr fontId="2" type="noConversion"/>
  </si>
  <si>
    <t>Gyeonggi-do</t>
    <phoneticPr fontId="2" type="noConversion"/>
  </si>
  <si>
    <t>39, Jingwansandan-ro 59beon-gil, Jingeon-eup, Namyangju-si, Gyeonggi-do</t>
    <phoneticPr fontId="2" type="noConversion"/>
  </si>
  <si>
    <t xml:space="preserve">CARTON DIVIDER,  CARTON FLLER, LABEL_VIAL PRODUCT.., </t>
    <phoneticPr fontId="2" type="noConversion"/>
  </si>
  <si>
    <t>CARTON BOX_PE16BD</t>
    <phoneticPr fontId="2" type="noConversion"/>
  </si>
  <si>
    <t>55-022</t>
    <phoneticPr fontId="2" type="noConversion"/>
  </si>
  <si>
    <t>EA</t>
    <phoneticPr fontId="2" type="noConversion"/>
  </si>
  <si>
    <t>N/A</t>
    <phoneticPr fontId="2" type="noConversion"/>
  </si>
  <si>
    <t>LABEL_VIAL_PRODUCT_PE16BD</t>
    <phoneticPr fontId="2" type="noConversion"/>
  </si>
  <si>
    <t>55-021</t>
    <phoneticPr fontId="2" type="noConversion"/>
  </si>
  <si>
    <t>CARTON DIVIDER_PE16A</t>
    <phoneticPr fontId="2" type="noConversion"/>
  </si>
  <si>
    <t>55-003</t>
    <phoneticPr fontId="2" type="noConversion"/>
  </si>
  <si>
    <t>SHIPPING BOX_PE16B</t>
    <phoneticPr fontId="2" type="noConversion"/>
  </si>
  <si>
    <t>55-004</t>
    <phoneticPr fontId="2" type="noConversion"/>
  </si>
  <si>
    <t>TAMPER STICKER_CARTON_PE16A</t>
    <phoneticPr fontId="2" type="noConversion"/>
  </si>
  <si>
    <t>55-011</t>
    <phoneticPr fontId="2" type="noConversion"/>
  </si>
  <si>
    <t>CARTON BOX_PE16</t>
    <phoneticPr fontId="2" type="noConversion"/>
  </si>
  <si>
    <t>65-002</t>
    <phoneticPr fontId="2" type="noConversion"/>
  </si>
  <si>
    <t>CARTON FILLER_PE16</t>
    <phoneticPr fontId="2" type="noConversion"/>
  </si>
  <si>
    <t>65-005</t>
    <phoneticPr fontId="2" type="noConversion"/>
  </si>
  <si>
    <t>CARTON DIVIDER_PE16</t>
    <phoneticPr fontId="2" type="noConversion"/>
  </si>
  <si>
    <t>65-003</t>
    <phoneticPr fontId="2" type="noConversion"/>
  </si>
  <si>
    <t>SHIPPING BOX_PE16</t>
    <phoneticPr fontId="2" type="noConversion"/>
  </si>
  <si>
    <t>65-004</t>
    <phoneticPr fontId="2" type="noConversion"/>
  </si>
  <si>
    <t>65-001</t>
    <phoneticPr fontId="2" type="noConversion"/>
  </si>
  <si>
    <t>LABEL_VIAL_PRODUCT_PE16BF</t>
    <phoneticPr fontId="2" type="noConversion"/>
  </si>
  <si>
    <t>65-006</t>
    <phoneticPr fontId="2" type="noConversion"/>
  </si>
  <si>
    <t>LABEL_VIAL_PRODUCT_PE16AC</t>
    <phoneticPr fontId="2" type="noConversion"/>
  </si>
  <si>
    <t>65-009</t>
    <phoneticPr fontId="2" type="noConversion"/>
  </si>
  <si>
    <t>CARTON BOX_PE16BF</t>
    <phoneticPr fontId="2" type="noConversion"/>
  </si>
  <si>
    <t>65-007</t>
    <phoneticPr fontId="2" type="noConversion"/>
  </si>
  <si>
    <t>CARTON BOX_PE16AC</t>
    <phoneticPr fontId="2" type="noConversion"/>
  </si>
  <si>
    <t>65-010</t>
    <phoneticPr fontId="2" type="noConversion"/>
  </si>
  <si>
    <t>CARTON DIVIDER_2R_PE16B</t>
    <phoneticPr fontId="2" type="noConversion"/>
  </si>
  <si>
    <t>65-011</t>
    <phoneticPr fontId="2" type="noConversion"/>
  </si>
  <si>
    <t>CARTON FILLER_2R_PE16B</t>
    <phoneticPr fontId="2" type="noConversion"/>
  </si>
  <si>
    <t>65-012</t>
    <phoneticPr fontId="2" type="noConversion"/>
  </si>
  <si>
    <t>SHIPPING BOX_2R_PE16B</t>
    <phoneticPr fontId="2" type="noConversion"/>
  </si>
  <si>
    <t>65-008</t>
    <phoneticPr fontId="2" type="noConversion"/>
  </si>
  <si>
    <t>LABEL_VIAL_PRODUCT_PE16AD</t>
    <phoneticPr fontId="2" type="noConversion"/>
  </si>
  <si>
    <t>65-013</t>
    <phoneticPr fontId="2" type="noConversion"/>
  </si>
  <si>
    <t>CARTON_BOX_PE16AD</t>
    <phoneticPr fontId="2" type="noConversion"/>
  </si>
  <si>
    <t>65-014</t>
    <phoneticPr fontId="2" type="noConversion"/>
  </si>
  <si>
    <t>Not use</t>
  </si>
  <si>
    <t>Use</t>
  </si>
  <si>
    <t>Scope 2</t>
  </si>
  <si>
    <t>Not dispose</t>
  </si>
  <si>
    <t>Not dispose</t>
    <phoneticPr fontId="2" type="noConversion"/>
  </si>
  <si>
    <t>Landfill-Hazardous waste</t>
    <phoneticPr fontId="2" type="noConversion"/>
  </si>
  <si>
    <t>Dispose</t>
    <phoneticPr fontId="2" type="noConversion"/>
  </si>
  <si>
    <t>Landfill-Waste rubber/waste leather</t>
    <phoneticPr fontId="2" type="noConversion"/>
  </si>
  <si>
    <t>Landfill-Waste paper</t>
    <phoneticPr fontId="2" type="noConversion"/>
  </si>
  <si>
    <t>Incineration-Hazardous waste</t>
    <phoneticPr fontId="2" type="noConversion"/>
  </si>
  <si>
    <t>Recycling-Waste wood</t>
    <phoneticPr fontId="2" type="noConversion"/>
  </si>
  <si>
    <t>Recycling-Waste paper</t>
    <phoneticPr fontId="2" type="noConversion"/>
  </si>
  <si>
    <t>LABEL_VIAL_PRODUCT_PE16BD</t>
  </si>
  <si>
    <t>PAPER</t>
    <phoneticPr fontId="2" type="noConversion"/>
  </si>
  <si>
    <t>Paper: etc</t>
  </si>
  <si>
    <t>paper</t>
    <phoneticPr fontId="2" type="noConversion"/>
  </si>
  <si>
    <t>Ratio to total sales</t>
    <phoneticPr fontId="2" type="noConversion"/>
  </si>
  <si>
    <t>CARTON BOX_PE16BD</t>
  </si>
  <si>
    <t>All Pulp</t>
    <phoneticPr fontId="2" type="noConversion"/>
  </si>
  <si>
    <t>LABEL_VIAL_PRODUCT_PE16AC</t>
  </si>
  <si>
    <t>CARTON BOX_PE16AC</t>
  </si>
  <si>
    <t>SHIPPING BOX_2R_PE16B</t>
  </si>
  <si>
    <t>Plastics_rubber_prods</t>
  </si>
  <si>
    <t>Plastics packaging materials and unlaminated film and sheet manufacturing</t>
    <phoneticPr fontId="2" type="noConversion"/>
  </si>
  <si>
    <t>Polyester</t>
    <phoneticPr fontId="2" type="noConversion"/>
  </si>
  <si>
    <t>plastics</t>
  </si>
  <si>
    <t>Plastic: etc</t>
  </si>
  <si>
    <t>KLB CK KLB /B</t>
    <phoneticPr fontId="2" type="noConversion"/>
  </si>
  <si>
    <t xml:space="preserve"> Fasson Gloss inkjet paper</t>
    <phoneticPr fontId="2" type="noConversion"/>
  </si>
  <si>
    <t>모니터링 기준</t>
    <phoneticPr fontId="48" type="noConversion"/>
  </si>
  <si>
    <t>원단 로스 수율(%)</t>
    <phoneticPr fontId="48" type="noConversion"/>
  </si>
  <si>
    <t>계산방법</t>
    <phoneticPr fontId="48" type="noConversion"/>
  </si>
  <si>
    <t>구분</t>
    <phoneticPr fontId="48" type="noConversion"/>
  </si>
  <si>
    <t>평균</t>
    <phoneticPr fontId="2" type="noConversion"/>
  </si>
  <si>
    <t>8월</t>
    <phoneticPr fontId="2" type="noConversion"/>
  </si>
  <si>
    <t>9월</t>
    <phoneticPr fontId="2" type="noConversion"/>
  </si>
  <si>
    <t>10월</t>
    <phoneticPr fontId="2" type="noConversion"/>
  </si>
  <si>
    <t>11월</t>
    <phoneticPr fontId="2" type="noConversion"/>
  </si>
  <si>
    <t>계획</t>
    <phoneticPr fontId="48" type="noConversion"/>
  </si>
  <si>
    <t>실적</t>
    <phoneticPr fontId="48" type="noConversion"/>
  </si>
  <si>
    <t>금액(단위 : 만원)</t>
    <phoneticPr fontId="48" type="noConversion"/>
  </si>
  <si>
    <t>실제사용금액</t>
    <phoneticPr fontId="48" type="noConversion"/>
  </si>
  <si>
    <t>구분</t>
    <phoneticPr fontId="2" type="noConversion"/>
  </si>
  <si>
    <t>금액</t>
    <phoneticPr fontId="2" type="noConversion"/>
  </si>
  <si>
    <t>전기</t>
    <phoneticPr fontId="2" type="noConversion"/>
  </si>
  <si>
    <t>474,944 KW</t>
    <phoneticPr fontId="2" type="noConversion"/>
  </si>
  <si>
    <t>가스사용량</t>
    <phoneticPr fontId="2" type="noConversion"/>
  </si>
  <si>
    <t>상하수도사용량</t>
    <phoneticPr fontId="2" type="noConversion"/>
  </si>
  <si>
    <t>987 ton</t>
    <phoneticPr fontId="2" type="noConversion"/>
  </si>
  <si>
    <t xml:space="preserve">4,120 KG </t>
    <phoneticPr fontId="2" type="noConversion"/>
  </si>
  <si>
    <t>출퇴근 시 소요 배출량</t>
    <phoneticPr fontId="2" type="noConversion"/>
  </si>
  <si>
    <r>
      <rPr>
        <b/>
        <sz val="14"/>
        <color theme="1"/>
        <rFont val="돋움"/>
        <family val="3"/>
        <charset val="129"/>
      </rPr>
      <t>사용량</t>
    </r>
    <r>
      <rPr>
        <b/>
        <sz val="14"/>
        <color theme="1"/>
        <rFont val="Arial"/>
        <family val="2"/>
      </rPr>
      <t xml:space="preserve"> </t>
    </r>
    <phoneticPr fontId="2" type="noConversion"/>
  </si>
  <si>
    <r>
      <rPr>
        <b/>
        <sz val="14"/>
        <color theme="1"/>
        <rFont val="돋움"/>
        <family val="3"/>
        <charset val="129"/>
      </rPr>
      <t>비고</t>
    </r>
    <r>
      <rPr>
        <b/>
        <sz val="14"/>
        <color theme="1"/>
        <rFont val="Arial"/>
        <family val="2"/>
      </rPr>
      <t xml:space="preserve"> </t>
    </r>
    <phoneticPr fontId="2" type="noConversion"/>
  </si>
  <si>
    <t>온실가스배출량                (tco2/Kmw)</t>
    <phoneticPr fontId="2" type="noConversion"/>
  </si>
  <si>
    <r>
      <rPr>
        <b/>
        <sz val="12"/>
        <color theme="1"/>
        <rFont val="돋움"/>
        <family val="3"/>
        <charset val="129"/>
      </rPr>
      <t>종량제</t>
    </r>
    <r>
      <rPr>
        <b/>
        <sz val="12"/>
        <color theme="1"/>
        <rFont val="Arial"/>
        <family val="2"/>
      </rPr>
      <t xml:space="preserve"> </t>
    </r>
    <r>
      <rPr>
        <b/>
        <sz val="12"/>
        <color theme="1"/>
        <rFont val="돋움"/>
        <family val="3"/>
        <charset val="129"/>
      </rPr>
      <t>봉투</t>
    </r>
    <r>
      <rPr>
        <b/>
        <sz val="12"/>
        <color theme="1"/>
        <rFont val="Arial"/>
        <family val="2"/>
      </rPr>
      <t xml:space="preserve"> </t>
    </r>
    <r>
      <rPr>
        <b/>
        <sz val="12"/>
        <color theme="1"/>
        <rFont val="돋움"/>
        <family val="3"/>
        <charset val="129"/>
      </rPr>
      <t>사용량</t>
    </r>
    <phoneticPr fontId="2" type="noConversion"/>
  </si>
  <si>
    <r>
      <rPr>
        <b/>
        <sz val="12"/>
        <color theme="1"/>
        <rFont val="돋움"/>
        <family val="3"/>
        <charset val="129"/>
      </rPr>
      <t>음식물</t>
    </r>
    <r>
      <rPr>
        <b/>
        <sz val="12"/>
        <color theme="1"/>
        <rFont val="Arial"/>
        <family val="2"/>
      </rPr>
      <t xml:space="preserve"> </t>
    </r>
    <r>
      <rPr>
        <b/>
        <sz val="12"/>
        <color theme="1"/>
        <rFont val="돋움"/>
        <family val="3"/>
        <charset val="129"/>
      </rPr>
      <t>쓰레기</t>
    </r>
    <r>
      <rPr>
        <b/>
        <sz val="12"/>
        <color theme="1"/>
        <rFont val="Arial"/>
        <family val="2"/>
      </rPr>
      <t xml:space="preserve"> </t>
    </r>
    <r>
      <rPr>
        <b/>
        <sz val="12"/>
        <color theme="1"/>
        <rFont val="돋움"/>
        <family val="3"/>
        <charset val="129"/>
      </rPr>
      <t>사용량</t>
    </r>
    <phoneticPr fontId="2" type="noConversion"/>
  </si>
  <si>
    <r>
      <rPr>
        <b/>
        <sz val="12"/>
        <color theme="1"/>
        <rFont val="돋움"/>
        <family val="3"/>
        <charset val="129"/>
      </rPr>
      <t>폐기물</t>
    </r>
    <r>
      <rPr>
        <b/>
        <sz val="12"/>
        <color theme="1"/>
        <rFont val="Arial"/>
        <family val="2"/>
      </rPr>
      <t xml:space="preserve"> </t>
    </r>
    <r>
      <rPr>
        <b/>
        <sz val="12"/>
        <color theme="1"/>
        <rFont val="돋움"/>
        <family val="3"/>
        <charset val="129"/>
      </rPr>
      <t>마대사용량</t>
    </r>
    <r>
      <rPr>
        <b/>
        <sz val="12"/>
        <color theme="1"/>
        <rFont val="Arial"/>
        <family val="2"/>
      </rPr>
      <t xml:space="preserve"> </t>
    </r>
    <phoneticPr fontId="2" type="noConversion"/>
  </si>
  <si>
    <r>
      <rPr>
        <b/>
        <sz val="12"/>
        <color theme="1"/>
        <rFont val="돋움"/>
        <family val="3"/>
        <charset val="129"/>
      </rPr>
      <t>연간유해</t>
    </r>
    <r>
      <rPr>
        <b/>
        <sz val="12"/>
        <color theme="1"/>
        <rFont val="Arial"/>
        <family val="2"/>
      </rPr>
      <t xml:space="preserve"> </t>
    </r>
    <r>
      <rPr>
        <b/>
        <sz val="12"/>
        <color theme="1"/>
        <rFont val="돋움"/>
        <family val="3"/>
        <charset val="129"/>
      </rPr>
      <t>폐기물량</t>
    </r>
    <phoneticPr fontId="2" type="noConversion"/>
  </si>
  <si>
    <r>
      <rPr>
        <b/>
        <sz val="12"/>
        <color theme="1"/>
        <rFont val="돋움"/>
        <family val="3"/>
        <charset val="129"/>
      </rPr>
      <t>연간</t>
    </r>
    <r>
      <rPr>
        <b/>
        <sz val="12"/>
        <color theme="1"/>
        <rFont val="Arial"/>
        <family val="2"/>
      </rPr>
      <t xml:space="preserve"> </t>
    </r>
    <r>
      <rPr>
        <b/>
        <sz val="12"/>
        <color theme="1"/>
        <rFont val="돋움"/>
        <family val="3"/>
        <charset val="129"/>
      </rPr>
      <t>제품</t>
    </r>
    <r>
      <rPr>
        <b/>
        <sz val="12"/>
        <color theme="1"/>
        <rFont val="Arial"/>
        <family val="2"/>
      </rPr>
      <t xml:space="preserve"> </t>
    </r>
    <r>
      <rPr>
        <b/>
        <sz val="12"/>
        <color theme="1"/>
        <rFont val="돋움"/>
        <family val="3"/>
        <charset val="129"/>
      </rPr>
      <t>운송</t>
    </r>
    <r>
      <rPr>
        <b/>
        <sz val="12"/>
        <color theme="1"/>
        <rFont val="Arial"/>
        <family val="2"/>
      </rPr>
      <t xml:space="preserve"> </t>
    </r>
    <r>
      <rPr>
        <b/>
        <sz val="12"/>
        <color theme="1"/>
        <rFont val="돋움"/>
        <family val="3"/>
        <charset val="129"/>
      </rPr>
      <t>배출량</t>
    </r>
    <phoneticPr fontId="2" type="noConversion"/>
  </si>
  <si>
    <r>
      <t>2023</t>
    </r>
    <r>
      <rPr>
        <b/>
        <sz val="16"/>
        <color theme="1"/>
        <rFont val="돋움"/>
        <family val="3"/>
        <charset val="129"/>
      </rPr>
      <t>년</t>
    </r>
    <r>
      <rPr>
        <b/>
        <sz val="16"/>
        <color theme="1"/>
        <rFont val="Arial"/>
        <family val="2"/>
      </rPr>
      <t xml:space="preserve"> </t>
    </r>
    <r>
      <rPr>
        <b/>
        <sz val="16"/>
        <color theme="1"/>
        <rFont val="돋움"/>
        <family val="3"/>
        <charset val="129"/>
      </rPr>
      <t>배출량</t>
    </r>
    <r>
      <rPr>
        <b/>
        <sz val="16"/>
        <color theme="1"/>
        <rFont val="Arial"/>
        <family val="2"/>
      </rPr>
      <t xml:space="preserve"> </t>
    </r>
    <r>
      <rPr>
        <b/>
        <sz val="16"/>
        <color theme="1"/>
        <rFont val="돋움"/>
        <family val="3"/>
        <charset val="129"/>
      </rPr>
      <t>계산</t>
    </r>
    <phoneticPr fontId="2" type="noConversion"/>
  </si>
  <si>
    <r>
      <t xml:space="preserve">4,500 </t>
    </r>
    <r>
      <rPr>
        <sz val="11"/>
        <color theme="1"/>
        <rFont val="돋움"/>
        <family val="3"/>
        <charset val="129"/>
      </rPr>
      <t>리터</t>
    </r>
    <r>
      <rPr>
        <sz val="11"/>
        <color theme="1"/>
        <rFont val="Arial"/>
        <family val="2"/>
      </rPr>
      <t>(75</t>
    </r>
    <r>
      <rPr>
        <sz val="11"/>
        <color theme="1"/>
        <rFont val="돋움"/>
        <family val="3"/>
        <charset val="129"/>
      </rPr>
      <t>리터</t>
    </r>
    <r>
      <rPr>
        <sz val="11"/>
        <color theme="1"/>
        <rFont val="Arial"/>
        <family val="2"/>
      </rPr>
      <t xml:space="preserve"> X 60</t>
    </r>
    <r>
      <rPr>
        <sz val="11"/>
        <color theme="1"/>
        <rFont val="돋움"/>
        <family val="3"/>
        <charset val="129"/>
      </rPr>
      <t>개</t>
    </r>
    <r>
      <rPr>
        <sz val="11"/>
        <color theme="1"/>
        <rFont val="Arial"/>
        <family val="2"/>
      </rPr>
      <t>)</t>
    </r>
    <phoneticPr fontId="2" type="noConversion"/>
  </si>
  <si>
    <r>
      <t xml:space="preserve">15,772 </t>
    </r>
    <r>
      <rPr>
        <sz val="11"/>
        <color theme="1"/>
        <rFont val="돋움"/>
        <family val="3"/>
        <charset val="129"/>
      </rPr>
      <t>리터</t>
    </r>
    <phoneticPr fontId="2" type="noConversion"/>
  </si>
  <si>
    <r>
      <t xml:space="preserve">13,500 </t>
    </r>
    <r>
      <rPr>
        <sz val="11"/>
        <color theme="1"/>
        <rFont val="돋움"/>
        <family val="3"/>
        <charset val="129"/>
      </rPr>
      <t>리터</t>
    </r>
    <phoneticPr fontId="2" type="noConversion"/>
  </si>
  <si>
    <t xml:space="preserve"> * Scope 3 </t>
    <phoneticPr fontId="2" type="noConversion"/>
  </si>
  <si>
    <r>
      <t xml:space="preserve"> [ </t>
    </r>
    <r>
      <rPr>
        <b/>
        <sz val="11"/>
        <color theme="1"/>
        <rFont val="돋움"/>
        <family val="3"/>
        <charset val="129"/>
      </rPr>
      <t>원자재</t>
    </r>
    <r>
      <rPr>
        <b/>
        <sz val="11"/>
        <color theme="1"/>
        <rFont val="Arial"/>
        <family val="2"/>
      </rPr>
      <t xml:space="preserve"> </t>
    </r>
    <r>
      <rPr>
        <b/>
        <sz val="11"/>
        <color theme="1"/>
        <rFont val="돋움"/>
        <family val="3"/>
        <charset val="129"/>
      </rPr>
      <t>입고전</t>
    </r>
    <r>
      <rPr>
        <b/>
        <sz val="11"/>
        <color theme="1"/>
        <rFont val="Arial"/>
        <family val="2"/>
      </rPr>
      <t>]</t>
    </r>
    <phoneticPr fontId="2" type="noConversion"/>
  </si>
  <si>
    <r>
      <t xml:space="preserve"> 1. </t>
    </r>
    <r>
      <rPr>
        <sz val="12"/>
        <color theme="1"/>
        <rFont val="돋움"/>
        <family val="3"/>
        <charset val="129"/>
      </rPr>
      <t>카테고리</t>
    </r>
    <r>
      <rPr>
        <sz val="12"/>
        <color theme="1"/>
        <rFont val="Arial"/>
        <family val="2"/>
      </rPr>
      <t xml:space="preserve">:  </t>
    </r>
    <r>
      <rPr>
        <sz val="12"/>
        <color theme="1"/>
        <rFont val="돋움"/>
        <family val="3"/>
        <charset val="129"/>
      </rPr>
      <t>원자재의</t>
    </r>
    <r>
      <rPr>
        <sz val="12"/>
        <color theme="1"/>
        <rFont val="Arial"/>
        <family val="2"/>
      </rPr>
      <t xml:space="preserve"> </t>
    </r>
    <r>
      <rPr>
        <sz val="12"/>
        <color theme="1"/>
        <rFont val="돋움"/>
        <family val="3"/>
        <charset val="129"/>
      </rPr>
      <t>탄소</t>
    </r>
    <r>
      <rPr>
        <sz val="12"/>
        <color theme="1"/>
        <rFont val="Arial"/>
        <family val="2"/>
      </rPr>
      <t xml:space="preserve"> </t>
    </r>
    <r>
      <rPr>
        <sz val="12"/>
        <color theme="1"/>
        <rFont val="돋움"/>
        <family val="3"/>
        <charset val="129"/>
      </rPr>
      <t>배출량</t>
    </r>
    <r>
      <rPr>
        <sz val="12"/>
        <color theme="1"/>
        <rFont val="Arial"/>
        <family val="2"/>
      </rPr>
      <t xml:space="preserve"> </t>
    </r>
    <phoneticPr fontId="2" type="noConversion"/>
  </si>
  <si>
    <r>
      <t xml:space="preserve"> 2. </t>
    </r>
    <r>
      <rPr>
        <sz val="12"/>
        <color theme="1"/>
        <rFont val="돋움"/>
        <family val="3"/>
        <charset val="129"/>
      </rPr>
      <t>카테고리</t>
    </r>
    <r>
      <rPr>
        <sz val="12"/>
        <color theme="1"/>
        <rFont val="Arial"/>
        <family val="2"/>
      </rPr>
      <t xml:space="preserve">:  </t>
    </r>
    <r>
      <rPr>
        <sz val="12"/>
        <color theme="1"/>
        <rFont val="돋움"/>
        <family val="3"/>
        <charset val="129"/>
      </rPr>
      <t>생산에</t>
    </r>
    <r>
      <rPr>
        <sz val="12"/>
        <color theme="1"/>
        <rFont val="Arial"/>
        <family val="2"/>
      </rPr>
      <t xml:space="preserve"> </t>
    </r>
    <r>
      <rPr>
        <sz val="12"/>
        <color theme="1"/>
        <rFont val="돋움"/>
        <family val="3"/>
        <charset val="129"/>
      </rPr>
      <t>사용되는</t>
    </r>
    <r>
      <rPr>
        <sz val="12"/>
        <color theme="1"/>
        <rFont val="Arial"/>
        <family val="2"/>
      </rPr>
      <t xml:space="preserve"> </t>
    </r>
    <r>
      <rPr>
        <sz val="12"/>
        <color theme="1"/>
        <rFont val="돋움"/>
        <family val="3"/>
        <charset val="129"/>
      </rPr>
      <t>설비</t>
    </r>
    <r>
      <rPr>
        <sz val="12"/>
        <color theme="1"/>
        <rFont val="Arial"/>
        <family val="2"/>
      </rPr>
      <t xml:space="preserve">, </t>
    </r>
    <r>
      <rPr>
        <sz val="12"/>
        <color theme="1"/>
        <rFont val="돋움"/>
        <family val="3"/>
        <charset val="129"/>
      </rPr>
      <t>장비의</t>
    </r>
    <r>
      <rPr>
        <sz val="12"/>
        <color theme="1"/>
        <rFont val="Arial"/>
        <family val="2"/>
      </rPr>
      <t xml:space="preserve"> </t>
    </r>
    <r>
      <rPr>
        <sz val="12"/>
        <color theme="1"/>
        <rFont val="돋움"/>
        <family val="3"/>
        <charset val="129"/>
      </rPr>
      <t>탄소배출량</t>
    </r>
    <r>
      <rPr>
        <sz val="12"/>
        <color theme="1"/>
        <rFont val="Arial"/>
        <family val="2"/>
      </rPr>
      <t xml:space="preserve"> </t>
    </r>
    <phoneticPr fontId="2" type="noConversion"/>
  </si>
  <si>
    <r>
      <t xml:space="preserve"> 3. </t>
    </r>
    <r>
      <rPr>
        <sz val="12"/>
        <color theme="1"/>
        <rFont val="돋움"/>
        <family val="3"/>
        <charset val="129"/>
      </rPr>
      <t>카테고리</t>
    </r>
    <r>
      <rPr>
        <sz val="12"/>
        <color theme="1"/>
        <rFont val="Arial"/>
        <family val="2"/>
      </rPr>
      <t xml:space="preserve">:  </t>
    </r>
    <r>
      <rPr>
        <sz val="12"/>
        <color theme="1"/>
        <rFont val="돋움"/>
        <family val="3"/>
        <charset val="129"/>
      </rPr>
      <t>회사운영에</t>
    </r>
    <r>
      <rPr>
        <sz val="12"/>
        <color theme="1"/>
        <rFont val="Arial"/>
        <family val="2"/>
      </rPr>
      <t xml:space="preserve"> </t>
    </r>
    <r>
      <rPr>
        <sz val="12"/>
        <color theme="1"/>
        <rFont val="돋움"/>
        <family val="3"/>
        <charset val="129"/>
      </rPr>
      <t>사용되는</t>
    </r>
    <r>
      <rPr>
        <sz val="12"/>
        <color theme="1"/>
        <rFont val="Arial"/>
        <family val="2"/>
      </rPr>
      <t xml:space="preserve"> </t>
    </r>
    <r>
      <rPr>
        <sz val="12"/>
        <color theme="1"/>
        <rFont val="돋움"/>
        <family val="3"/>
        <charset val="129"/>
      </rPr>
      <t>연료를</t>
    </r>
    <r>
      <rPr>
        <sz val="12"/>
        <color theme="1"/>
        <rFont val="Arial"/>
        <family val="2"/>
      </rPr>
      <t xml:space="preserve"> </t>
    </r>
    <r>
      <rPr>
        <sz val="12"/>
        <color theme="1"/>
        <rFont val="돋움"/>
        <family val="3"/>
        <charset val="129"/>
      </rPr>
      <t>채굴하고</t>
    </r>
    <r>
      <rPr>
        <sz val="12"/>
        <color theme="1"/>
        <rFont val="Arial"/>
        <family val="2"/>
      </rPr>
      <t xml:space="preserve"> </t>
    </r>
    <r>
      <rPr>
        <sz val="12"/>
        <color theme="1"/>
        <rFont val="돋움"/>
        <family val="3"/>
        <charset val="129"/>
      </rPr>
      <t>운반하고</t>
    </r>
    <r>
      <rPr>
        <sz val="12"/>
        <color theme="1"/>
        <rFont val="Arial"/>
        <family val="2"/>
      </rPr>
      <t xml:space="preserve"> </t>
    </r>
    <r>
      <rPr>
        <sz val="12"/>
        <color theme="1"/>
        <rFont val="돋움"/>
        <family val="3"/>
        <charset val="129"/>
      </rPr>
      <t>정제되는</t>
    </r>
    <r>
      <rPr>
        <sz val="12"/>
        <color theme="1"/>
        <rFont val="Arial"/>
        <family val="2"/>
      </rPr>
      <t xml:space="preserve"> </t>
    </r>
    <r>
      <rPr>
        <sz val="12"/>
        <color theme="1"/>
        <rFont val="돋움"/>
        <family val="3"/>
        <charset val="129"/>
      </rPr>
      <t>과정에서</t>
    </r>
    <r>
      <rPr>
        <sz val="12"/>
        <color theme="1"/>
        <rFont val="Arial"/>
        <family val="2"/>
      </rPr>
      <t xml:space="preserve"> </t>
    </r>
    <r>
      <rPr>
        <sz val="12"/>
        <color theme="1"/>
        <rFont val="돋움"/>
        <family val="3"/>
        <charset val="129"/>
      </rPr>
      <t>발생되는</t>
    </r>
    <r>
      <rPr>
        <sz val="12"/>
        <color theme="1"/>
        <rFont val="Arial"/>
        <family val="2"/>
      </rPr>
      <t xml:space="preserve"> </t>
    </r>
    <r>
      <rPr>
        <sz val="12"/>
        <color theme="1"/>
        <rFont val="돋움"/>
        <family val="3"/>
        <charset val="129"/>
      </rPr>
      <t>탄소배출량</t>
    </r>
    <phoneticPr fontId="2" type="noConversion"/>
  </si>
  <si>
    <r>
      <t xml:space="preserve"> 4. </t>
    </r>
    <r>
      <rPr>
        <sz val="12"/>
        <color theme="1"/>
        <rFont val="돋움"/>
        <family val="3"/>
        <charset val="129"/>
      </rPr>
      <t>카테고리</t>
    </r>
    <r>
      <rPr>
        <sz val="12"/>
        <color theme="1"/>
        <rFont val="Arial"/>
        <family val="2"/>
      </rPr>
      <t xml:space="preserve">: </t>
    </r>
    <r>
      <rPr>
        <sz val="12"/>
        <color theme="1"/>
        <rFont val="돋움"/>
        <family val="3"/>
        <charset val="129"/>
      </rPr>
      <t>우리회사에</t>
    </r>
    <r>
      <rPr>
        <sz val="12"/>
        <color theme="1"/>
        <rFont val="Arial"/>
        <family val="2"/>
      </rPr>
      <t xml:space="preserve"> </t>
    </r>
    <r>
      <rPr>
        <sz val="12"/>
        <color theme="1"/>
        <rFont val="돋움"/>
        <family val="3"/>
        <charset val="129"/>
      </rPr>
      <t>필요한</t>
    </r>
    <r>
      <rPr>
        <sz val="12"/>
        <color theme="1"/>
        <rFont val="Arial"/>
        <family val="2"/>
      </rPr>
      <t xml:space="preserve"> </t>
    </r>
    <r>
      <rPr>
        <sz val="12"/>
        <color theme="1"/>
        <rFont val="돋움"/>
        <family val="3"/>
        <charset val="129"/>
      </rPr>
      <t>원자재와</t>
    </r>
    <r>
      <rPr>
        <sz val="12"/>
        <color theme="1"/>
        <rFont val="Arial"/>
        <family val="2"/>
      </rPr>
      <t xml:space="preserve"> </t>
    </r>
    <r>
      <rPr>
        <sz val="12"/>
        <color theme="1"/>
        <rFont val="돋움"/>
        <family val="3"/>
        <charset val="129"/>
      </rPr>
      <t>설비를</t>
    </r>
    <r>
      <rPr>
        <sz val="12"/>
        <color theme="1"/>
        <rFont val="Arial"/>
        <family val="2"/>
      </rPr>
      <t xml:space="preserve"> </t>
    </r>
    <r>
      <rPr>
        <sz val="12"/>
        <color theme="1"/>
        <rFont val="돋움"/>
        <family val="3"/>
        <charset val="129"/>
      </rPr>
      <t>다른</t>
    </r>
    <r>
      <rPr>
        <sz val="12"/>
        <color theme="1"/>
        <rFont val="Arial"/>
        <family val="2"/>
      </rPr>
      <t xml:space="preserve"> </t>
    </r>
    <r>
      <rPr>
        <sz val="12"/>
        <color theme="1"/>
        <rFont val="돋움"/>
        <family val="3"/>
        <charset val="129"/>
      </rPr>
      <t>회사에서</t>
    </r>
    <r>
      <rPr>
        <sz val="12"/>
        <color theme="1"/>
        <rFont val="Arial"/>
        <family val="2"/>
      </rPr>
      <t xml:space="preserve"> </t>
    </r>
    <r>
      <rPr>
        <sz val="12"/>
        <color theme="1"/>
        <rFont val="돋움"/>
        <family val="3"/>
        <charset val="129"/>
      </rPr>
      <t>운송되는</t>
    </r>
    <r>
      <rPr>
        <sz val="12"/>
        <color theme="1"/>
        <rFont val="Arial"/>
        <family val="2"/>
      </rPr>
      <t xml:space="preserve"> </t>
    </r>
    <r>
      <rPr>
        <sz val="12"/>
        <color theme="1"/>
        <rFont val="돋움"/>
        <family val="3"/>
        <charset val="129"/>
      </rPr>
      <t>과정에서</t>
    </r>
    <r>
      <rPr>
        <sz val="12"/>
        <color theme="1"/>
        <rFont val="Arial"/>
        <family val="2"/>
      </rPr>
      <t xml:space="preserve"> </t>
    </r>
    <r>
      <rPr>
        <sz val="12"/>
        <color theme="1"/>
        <rFont val="돋움"/>
        <family val="3"/>
        <charset val="129"/>
      </rPr>
      <t>발생되는</t>
    </r>
    <r>
      <rPr>
        <sz val="12"/>
        <color theme="1"/>
        <rFont val="Arial"/>
        <family val="2"/>
      </rPr>
      <t xml:space="preserve"> </t>
    </r>
    <r>
      <rPr>
        <sz val="12"/>
        <color theme="1"/>
        <rFont val="돋움"/>
        <family val="3"/>
        <charset val="129"/>
      </rPr>
      <t>탄소배출량</t>
    </r>
    <r>
      <rPr>
        <sz val="12"/>
        <color theme="1"/>
        <rFont val="Arial"/>
        <family val="2"/>
      </rPr>
      <t xml:space="preserve"> </t>
    </r>
    <phoneticPr fontId="2" type="noConversion"/>
  </si>
  <si>
    <r>
      <t xml:space="preserve"> [ </t>
    </r>
    <r>
      <rPr>
        <b/>
        <sz val="12"/>
        <color theme="1"/>
        <rFont val="돋움"/>
        <family val="3"/>
        <charset val="129"/>
      </rPr>
      <t>생산공정</t>
    </r>
    <r>
      <rPr>
        <b/>
        <sz val="12"/>
        <color theme="1"/>
        <rFont val="Arial"/>
        <family val="2"/>
      </rPr>
      <t>]</t>
    </r>
    <phoneticPr fontId="2" type="noConversion"/>
  </si>
  <si>
    <r>
      <t xml:space="preserve"> 5. </t>
    </r>
    <r>
      <rPr>
        <sz val="12"/>
        <color theme="1"/>
        <rFont val="돋움"/>
        <family val="3"/>
        <charset val="129"/>
      </rPr>
      <t>카테고리</t>
    </r>
    <r>
      <rPr>
        <sz val="12"/>
        <color theme="1"/>
        <rFont val="Arial"/>
        <family val="2"/>
      </rPr>
      <t xml:space="preserve">: </t>
    </r>
    <r>
      <rPr>
        <sz val="12"/>
        <color theme="1"/>
        <rFont val="돋움"/>
        <family val="3"/>
        <charset val="129"/>
      </rPr>
      <t>우리회사가</t>
    </r>
    <r>
      <rPr>
        <sz val="12"/>
        <color theme="1"/>
        <rFont val="Arial"/>
        <family val="2"/>
      </rPr>
      <t xml:space="preserve"> </t>
    </r>
    <r>
      <rPr>
        <sz val="12"/>
        <color theme="1"/>
        <rFont val="돋움"/>
        <family val="3"/>
        <charset val="129"/>
      </rPr>
      <t>배출한</t>
    </r>
    <r>
      <rPr>
        <sz val="12"/>
        <color theme="1"/>
        <rFont val="Arial"/>
        <family val="2"/>
      </rPr>
      <t xml:space="preserve"> </t>
    </r>
    <r>
      <rPr>
        <sz val="12"/>
        <color theme="1"/>
        <rFont val="돋움"/>
        <family val="3"/>
        <charset val="129"/>
      </rPr>
      <t>폐기물을</t>
    </r>
    <r>
      <rPr>
        <sz val="12"/>
        <color theme="1"/>
        <rFont val="Arial"/>
        <family val="2"/>
      </rPr>
      <t xml:space="preserve"> </t>
    </r>
    <r>
      <rPr>
        <sz val="12"/>
        <color theme="1"/>
        <rFont val="돋움"/>
        <family val="3"/>
        <charset val="129"/>
      </rPr>
      <t>다른</t>
    </r>
    <r>
      <rPr>
        <sz val="12"/>
        <color theme="1"/>
        <rFont val="Arial"/>
        <family val="2"/>
      </rPr>
      <t xml:space="preserve"> </t>
    </r>
    <r>
      <rPr>
        <sz val="12"/>
        <color theme="1"/>
        <rFont val="돋움"/>
        <family val="3"/>
        <charset val="129"/>
      </rPr>
      <t>소각장이나</t>
    </r>
    <r>
      <rPr>
        <sz val="12"/>
        <color theme="1"/>
        <rFont val="Arial"/>
        <family val="2"/>
      </rPr>
      <t xml:space="preserve"> </t>
    </r>
    <r>
      <rPr>
        <sz val="12"/>
        <color theme="1"/>
        <rFont val="돋움"/>
        <family val="3"/>
        <charset val="129"/>
      </rPr>
      <t>매립장에서</t>
    </r>
    <r>
      <rPr>
        <sz val="12"/>
        <color theme="1"/>
        <rFont val="Arial"/>
        <family val="2"/>
      </rPr>
      <t xml:space="preserve"> </t>
    </r>
    <r>
      <rPr>
        <sz val="12"/>
        <color theme="1"/>
        <rFont val="돋움"/>
        <family val="3"/>
        <charset val="129"/>
      </rPr>
      <t>처리하는</t>
    </r>
    <r>
      <rPr>
        <sz val="12"/>
        <color theme="1"/>
        <rFont val="Arial"/>
        <family val="2"/>
      </rPr>
      <t xml:space="preserve"> </t>
    </r>
    <r>
      <rPr>
        <sz val="12"/>
        <color theme="1"/>
        <rFont val="돋움"/>
        <family val="3"/>
        <charset val="129"/>
      </rPr>
      <t>과정에서</t>
    </r>
    <r>
      <rPr>
        <sz val="12"/>
        <color theme="1"/>
        <rFont val="Arial"/>
        <family val="2"/>
      </rPr>
      <t xml:space="preserve"> </t>
    </r>
    <r>
      <rPr>
        <sz val="12"/>
        <color theme="1"/>
        <rFont val="돋움"/>
        <family val="3"/>
        <charset val="129"/>
      </rPr>
      <t>발생되는</t>
    </r>
    <r>
      <rPr>
        <sz val="12"/>
        <color theme="1"/>
        <rFont val="Arial"/>
        <family val="2"/>
      </rPr>
      <t xml:space="preserve"> </t>
    </r>
    <r>
      <rPr>
        <sz val="12"/>
        <color theme="1"/>
        <rFont val="돋움"/>
        <family val="3"/>
        <charset val="129"/>
      </rPr>
      <t>탄소</t>
    </r>
    <r>
      <rPr>
        <sz val="12"/>
        <color theme="1"/>
        <rFont val="Arial"/>
        <family val="2"/>
      </rPr>
      <t xml:space="preserve"> </t>
    </r>
    <r>
      <rPr>
        <sz val="12"/>
        <color theme="1"/>
        <rFont val="돋움"/>
        <family val="3"/>
        <charset val="129"/>
      </rPr>
      <t>배출량</t>
    </r>
    <r>
      <rPr>
        <sz val="12"/>
        <color theme="1"/>
        <rFont val="Arial"/>
        <family val="2"/>
      </rPr>
      <t xml:space="preserve"> </t>
    </r>
    <phoneticPr fontId="2" type="noConversion"/>
  </si>
  <si>
    <r>
      <t xml:space="preserve"> 6. </t>
    </r>
    <r>
      <rPr>
        <sz val="12"/>
        <color theme="1"/>
        <rFont val="돋움"/>
        <family val="3"/>
        <charset val="129"/>
      </rPr>
      <t>카테고리</t>
    </r>
    <r>
      <rPr>
        <sz val="12"/>
        <color theme="1"/>
        <rFont val="Arial"/>
        <family val="2"/>
      </rPr>
      <t xml:space="preserve">: </t>
    </r>
    <r>
      <rPr>
        <sz val="12"/>
        <color theme="1"/>
        <rFont val="돋움"/>
        <family val="3"/>
        <charset val="129"/>
      </rPr>
      <t>임직원의</t>
    </r>
    <r>
      <rPr>
        <sz val="12"/>
        <color theme="1"/>
        <rFont val="Arial"/>
        <family val="2"/>
      </rPr>
      <t xml:space="preserve"> </t>
    </r>
    <r>
      <rPr>
        <sz val="12"/>
        <color theme="1"/>
        <rFont val="돋움"/>
        <family val="3"/>
        <charset val="129"/>
      </rPr>
      <t>출장</t>
    </r>
    <phoneticPr fontId="2" type="noConversion"/>
  </si>
  <si>
    <r>
      <t xml:space="preserve"> 7. </t>
    </r>
    <r>
      <rPr>
        <sz val="12"/>
        <color theme="1"/>
        <rFont val="돋움"/>
        <family val="3"/>
        <charset val="129"/>
      </rPr>
      <t>카테고리</t>
    </r>
    <r>
      <rPr>
        <sz val="12"/>
        <color theme="1"/>
        <rFont val="Arial"/>
        <family val="2"/>
      </rPr>
      <t xml:space="preserve">: </t>
    </r>
    <r>
      <rPr>
        <sz val="12"/>
        <color theme="1"/>
        <rFont val="돋움"/>
        <family val="3"/>
        <charset val="129"/>
      </rPr>
      <t>출퇴근시</t>
    </r>
    <r>
      <rPr>
        <sz val="12"/>
        <color theme="1"/>
        <rFont val="Arial"/>
        <family val="2"/>
      </rPr>
      <t xml:space="preserve"> </t>
    </r>
    <r>
      <rPr>
        <sz val="12"/>
        <color theme="1"/>
        <rFont val="돋움"/>
        <family val="3"/>
        <charset val="129"/>
      </rPr>
      <t>발생되는</t>
    </r>
    <r>
      <rPr>
        <sz val="12"/>
        <color theme="1"/>
        <rFont val="Arial"/>
        <family val="2"/>
      </rPr>
      <t xml:space="preserve"> </t>
    </r>
    <r>
      <rPr>
        <sz val="12"/>
        <color theme="1"/>
        <rFont val="돋움"/>
        <family val="3"/>
        <charset val="129"/>
      </rPr>
      <t>탄소배출량</t>
    </r>
    <r>
      <rPr>
        <sz val="12"/>
        <color theme="1"/>
        <rFont val="Arial"/>
        <family val="2"/>
      </rPr>
      <t xml:space="preserve"> </t>
    </r>
    <phoneticPr fontId="2" type="noConversion"/>
  </si>
  <si>
    <r>
      <t xml:space="preserve"> 8. </t>
    </r>
    <r>
      <rPr>
        <sz val="12"/>
        <color theme="1"/>
        <rFont val="돋움"/>
        <family val="3"/>
        <charset val="129"/>
      </rPr>
      <t>카테고리</t>
    </r>
    <r>
      <rPr>
        <sz val="12"/>
        <color theme="1"/>
        <rFont val="Arial"/>
        <family val="2"/>
      </rPr>
      <t xml:space="preserve">: </t>
    </r>
    <r>
      <rPr>
        <sz val="12"/>
        <color theme="1"/>
        <rFont val="돋움"/>
        <family val="3"/>
        <charset val="129"/>
      </rPr>
      <t>회사가</t>
    </r>
    <r>
      <rPr>
        <sz val="12"/>
        <color theme="1"/>
        <rFont val="Arial"/>
        <family val="2"/>
      </rPr>
      <t xml:space="preserve"> </t>
    </r>
    <r>
      <rPr>
        <sz val="12"/>
        <color theme="1"/>
        <rFont val="돋움"/>
        <family val="3"/>
        <charset val="129"/>
      </rPr>
      <t>임차한</t>
    </r>
    <r>
      <rPr>
        <sz val="12"/>
        <color theme="1"/>
        <rFont val="Arial"/>
        <family val="2"/>
      </rPr>
      <t xml:space="preserve"> </t>
    </r>
    <r>
      <rPr>
        <sz val="12"/>
        <color theme="1"/>
        <rFont val="돋움"/>
        <family val="3"/>
        <charset val="129"/>
      </rPr>
      <t>사무실에서</t>
    </r>
    <r>
      <rPr>
        <sz val="12"/>
        <color theme="1"/>
        <rFont val="Arial"/>
        <family val="2"/>
      </rPr>
      <t xml:space="preserve"> </t>
    </r>
    <r>
      <rPr>
        <sz val="12"/>
        <color theme="1"/>
        <rFont val="돋움"/>
        <family val="3"/>
        <charset val="129"/>
      </rPr>
      <t>배출하는</t>
    </r>
    <r>
      <rPr>
        <sz val="12"/>
        <color theme="1"/>
        <rFont val="Arial"/>
        <family val="2"/>
      </rPr>
      <t xml:space="preserve"> </t>
    </r>
    <r>
      <rPr>
        <sz val="12"/>
        <color theme="1"/>
        <rFont val="돋움"/>
        <family val="3"/>
        <charset val="129"/>
      </rPr>
      <t>배출량</t>
    </r>
    <phoneticPr fontId="2" type="noConversion"/>
  </si>
  <si>
    <r>
      <t xml:space="preserve"> 9. </t>
    </r>
    <r>
      <rPr>
        <sz val="12"/>
        <color theme="1"/>
        <rFont val="돋움"/>
        <family val="3"/>
        <charset val="129"/>
      </rPr>
      <t>카테고리</t>
    </r>
    <r>
      <rPr>
        <sz val="12"/>
        <color theme="1"/>
        <rFont val="Arial"/>
        <family val="2"/>
      </rPr>
      <t xml:space="preserve">: </t>
    </r>
    <r>
      <rPr>
        <sz val="12"/>
        <color theme="1"/>
        <rFont val="돋움"/>
        <family val="3"/>
        <charset val="129"/>
      </rPr>
      <t>우리회사의</t>
    </r>
    <r>
      <rPr>
        <sz val="12"/>
        <color theme="1"/>
        <rFont val="Arial"/>
        <family val="2"/>
      </rPr>
      <t xml:space="preserve"> </t>
    </r>
    <r>
      <rPr>
        <sz val="12"/>
        <color theme="1"/>
        <rFont val="돋움"/>
        <family val="3"/>
        <charset val="129"/>
      </rPr>
      <t>제품이</t>
    </r>
    <r>
      <rPr>
        <sz val="12"/>
        <color theme="1"/>
        <rFont val="Arial"/>
        <family val="2"/>
      </rPr>
      <t xml:space="preserve"> </t>
    </r>
    <r>
      <rPr>
        <sz val="12"/>
        <color theme="1"/>
        <rFont val="돋움"/>
        <family val="3"/>
        <charset val="129"/>
      </rPr>
      <t>다른</t>
    </r>
    <r>
      <rPr>
        <sz val="12"/>
        <color theme="1"/>
        <rFont val="Arial"/>
        <family val="2"/>
      </rPr>
      <t xml:space="preserve"> </t>
    </r>
    <r>
      <rPr>
        <sz val="12"/>
        <color theme="1"/>
        <rFont val="돋움"/>
        <family val="3"/>
        <charset val="129"/>
      </rPr>
      <t>회사로</t>
    </r>
    <r>
      <rPr>
        <sz val="12"/>
        <color theme="1"/>
        <rFont val="Arial"/>
        <family val="2"/>
      </rPr>
      <t xml:space="preserve"> </t>
    </r>
    <r>
      <rPr>
        <sz val="12"/>
        <color theme="1"/>
        <rFont val="돋움"/>
        <family val="3"/>
        <charset val="129"/>
      </rPr>
      <t>운송되는</t>
    </r>
    <r>
      <rPr>
        <sz val="12"/>
        <color theme="1"/>
        <rFont val="Arial"/>
        <family val="2"/>
      </rPr>
      <t xml:space="preserve"> </t>
    </r>
    <r>
      <rPr>
        <sz val="12"/>
        <color theme="1"/>
        <rFont val="돋움"/>
        <family val="3"/>
        <charset val="129"/>
      </rPr>
      <t>과정</t>
    </r>
    <phoneticPr fontId="2" type="noConversion"/>
  </si>
  <si>
    <r>
      <t xml:space="preserve"> [ </t>
    </r>
    <r>
      <rPr>
        <b/>
        <sz val="12"/>
        <color theme="1"/>
        <rFont val="돋움"/>
        <family val="3"/>
        <charset val="129"/>
      </rPr>
      <t>출하이후</t>
    </r>
    <r>
      <rPr>
        <b/>
        <sz val="12"/>
        <color theme="1"/>
        <rFont val="Arial"/>
        <family val="2"/>
      </rPr>
      <t>]</t>
    </r>
    <phoneticPr fontId="2" type="noConversion"/>
  </si>
  <si>
    <r>
      <t xml:space="preserve"> 10. </t>
    </r>
    <r>
      <rPr>
        <sz val="12"/>
        <color theme="1"/>
        <rFont val="돋움"/>
        <family val="3"/>
        <charset val="129"/>
      </rPr>
      <t>카테고리</t>
    </r>
    <r>
      <rPr>
        <sz val="12"/>
        <color theme="1"/>
        <rFont val="Arial"/>
        <family val="2"/>
      </rPr>
      <t xml:space="preserve">:  </t>
    </r>
    <r>
      <rPr>
        <sz val="12"/>
        <color theme="1"/>
        <rFont val="돋움"/>
        <family val="3"/>
        <charset val="129"/>
      </rPr>
      <t>우리회사의</t>
    </r>
    <r>
      <rPr>
        <sz val="12"/>
        <color theme="1"/>
        <rFont val="Arial"/>
        <family val="2"/>
      </rPr>
      <t xml:space="preserve"> </t>
    </r>
    <r>
      <rPr>
        <sz val="12"/>
        <color theme="1"/>
        <rFont val="돋움"/>
        <family val="3"/>
        <charset val="129"/>
      </rPr>
      <t>제품이</t>
    </r>
    <r>
      <rPr>
        <sz val="12"/>
        <color theme="1"/>
        <rFont val="Arial"/>
        <family val="2"/>
      </rPr>
      <t xml:space="preserve"> </t>
    </r>
    <r>
      <rPr>
        <sz val="12"/>
        <color theme="1"/>
        <rFont val="돋움"/>
        <family val="3"/>
        <charset val="129"/>
      </rPr>
      <t>완제품이</t>
    </r>
    <r>
      <rPr>
        <sz val="12"/>
        <color theme="1"/>
        <rFont val="Arial"/>
        <family val="2"/>
      </rPr>
      <t xml:space="preserve"> </t>
    </r>
    <r>
      <rPr>
        <sz val="12"/>
        <color theme="1"/>
        <rFont val="돋움"/>
        <family val="3"/>
        <charset val="129"/>
      </rPr>
      <t>아닌</t>
    </r>
    <r>
      <rPr>
        <sz val="12"/>
        <color theme="1"/>
        <rFont val="Arial"/>
        <family val="2"/>
      </rPr>
      <t xml:space="preserve"> </t>
    </r>
    <r>
      <rPr>
        <sz val="12"/>
        <color theme="1"/>
        <rFont val="돋움"/>
        <family val="3"/>
        <charset val="129"/>
      </rPr>
      <t>중간재라면</t>
    </r>
    <r>
      <rPr>
        <sz val="12"/>
        <color theme="1"/>
        <rFont val="Arial"/>
        <family val="2"/>
      </rPr>
      <t xml:space="preserve"> </t>
    </r>
    <r>
      <rPr>
        <sz val="12"/>
        <color theme="1"/>
        <rFont val="돋움"/>
        <family val="3"/>
        <charset val="129"/>
      </rPr>
      <t>제품이</t>
    </r>
    <r>
      <rPr>
        <sz val="12"/>
        <color theme="1"/>
        <rFont val="Arial"/>
        <family val="2"/>
      </rPr>
      <t xml:space="preserve"> </t>
    </r>
    <r>
      <rPr>
        <sz val="12"/>
        <color theme="1"/>
        <rFont val="돋움"/>
        <family val="3"/>
        <charset val="129"/>
      </rPr>
      <t>가공되는</t>
    </r>
    <r>
      <rPr>
        <sz val="12"/>
        <color theme="1"/>
        <rFont val="Arial"/>
        <family val="2"/>
      </rPr>
      <t xml:space="preserve"> </t>
    </r>
    <r>
      <rPr>
        <sz val="12"/>
        <color theme="1"/>
        <rFont val="돋움"/>
        <family val="3"/>
        <charset val="129"/>
      </rPr>
      <t>과정</t>
    </r>
    <r>
      <rPr>
        <sz val="12"/>
        <color theme="1"/>
        <rFont val="Arial"/>
        <family val="2"/>
      </rPr>
      <t xml:space="preserve"> </t>
    </r>
    <phoneticPr fontId="2" type="noConversion"/>
  </si>
  <si>
    <r>
      <t xml:space="preserve"> 11. </t>
    </r>
    <r>
      <rPr>
        <sz val="12"/>
        <color theme="1"/>
        <rFont val="돋움"/>
        <family val="3"/>
        <charset val="129"/>
      </rPr>
      <t>카테고리</t>
    </r>
    <r>
      <rPr>
        <sz val="12"/>
        <color theme="1"/>
        <rFont val="Arial"/>
        <family val="2"/>
      </rPr>
      <t xml:space="preserve"> :  </t>
    </r>
    <r>
      <rPr>
        <sz val="12"/>
        <color theme="1"/>
        <rFont val="돋움"/>
        <family val="3"/>
        <charset val="129"/>
      </rPr>
      <t>판매되는</t>
    </r>
    <r>
      <rPr>
        <sz val="12"/>
        <color theme="1"/>
        <rFont val="Arial"/>
        <family val="2"/>
      </rPr>
      <t xml:space="preserve"> </t>
    </r>
    <r>
      <rPr>
        <sz val="12"/>
        <color theme="1"/>
        <rFont val="돋움"/>
        <family val="3"/>
        <charset val="129"/>
      </rPr>
      <t>제품이</t>
    </r>
    <r>
      <rPr>
        <sz val="12"/>
        <color theme="1"/>
        <rFont val="Arial"/>
        <family val="2"/>
      </rPr>
      <t xml:space="preserve"> </t>
    </r>
    <r>
      <rPr>
        <sz val="12"/>
        <color theme="1"/>
        <rFont val="돋움"/>
        <family val="3"/>
        <charset val="129"/>
      </rPr>
      <t>사용되는</t>
    </r>
    <r>
      <rPr>
        <sz val="12"/>
        <color theme="1"/>
        <rFont val="Arial"/>
        <family val="2"/>
      </rPr>
      <t xml:space="preserve"> </t>
    </r>
    <r>
      <rPr>
        <sz val="12"/>
        <color theme="1"/>
        <rFont val="돋움"/>
        <family val="3"/>
        <charset val="129"/>
      </rPr>
      <t>과정</t>
    </r>
    <r>
      <rPr>
        <sz val="12"/>
        <color theme="1"/>
        <rFont val="Arial"/>
        <family val="2"/>
      </rPr>
      <t xml:space="preserve"> </t>
    </r>
    <phoneticPr fontId="2" type="noConversion"/>
  </si>
  <si>
    <r>
      <t xml:space="preserve"> 12. </t>
    </r>
    <r>
      <rPr>
        <sz val="12"/>
        <color theme="1"/>
        <rFont val="돋움"/>
        <family val="3"/>
        <charset val="129"/>
      </rPr>
      <t>카테고리</t>
    </r>
    <r>
      <rPr>
        <sz val="12"/>
        <color theme="1"/>
        <rFont val="Arial"/>
        <family val="2"/>
      </rPr>
      <t xml:space="preserve">:  </t>
    </r>
    <r>
      <rPr>
        <sz val="12"/>
        <color theme="1"/>
        <rFont val="돋움"/>
        <family val="3"/>
        <charset val="129"/>
      </rPr>
      <t>판매되는</t>
    </r>
    <r>
      <rPr>
        <sz val="12"/>
        <color theme="1"/>
        <rFont val="Arial"/>
        <family val="2"/>
      </rPr>
      <t xml:space="preserve"> </t>
    </r>
    <r>
      <rPr>
        <sz val="12"/>
        <color theme="1"/>
        <rFont val="돋움"/>
        <family val="3"/>
        <charset val="129"/>
      </rPr>
      <t>제품이</t>
    </r>
    <r>
      <rPr>
        <sz val="12"/>
        <color theme="1"/>
        <rFont val="Arial"/>
        <family val="2"/>
      </rPr>
      <t xml:space="preserve"> </t>
    </r>
    <r>
      <rPr>
        <sz val="12"/>
        <color theme="1"/>
        <rFont val="돋움"/>
        <family val="3"/>
        <charset val="129"/>
      </rPr>
      <t>폐기되는</t>
    </r>
    <r>
      <rPr>
        <sz val="12"/>
        <color theme="1"/>
        <rFont val="Arial"/>
        <family val="2"/>
      </rPr>
      <t xml:space="preserve"> </t>
    </r>
    <r>
      <rPr>
        <sz val="12"/>
        <color theme="1"/>
        <rFont val="돋움"/>
        <family val="3"/>
        <charset val="129"/>
      </rPr>
      <t>과정</t>
    </r>
    <phoneticPr fontId="2" type="noConversion"/>
  </si>
  <si>
    <r>
      <t xml:space="preserve"> 13. </t>
    </r>
    <r>
      <rPr>
        <sz val="12"/>
        <color theme="1"/>
        <rFont val="돋움"/>
        <family val="3"/>
        <charset val="129"/>
      </rPr>
      <t>카테고리</t>
    </r>
    <r>
      <rPr>
        <sz val="12"/>
        <color theme="1"/>
        <rFont val="Arial"/>
        <family val="2"/>
      </rPr>
      <t xml:space="preserve">: </t>
    </r>
    <r>
      <rPr>
        <sz val="12"/>
        <color theme="1"/>
        <rFont val="돋움"/>
        <family val="3"/>
        <charset val="129"/>
      </rPr>
      <t>우리회사가</t>
    </r>
    <r>
      <rPr>
        <sz val="12"/>
        <color theme="1"/>
        <rFont val="Arial"/>
        <family val="2"/>
      </rPr>
      <t xml:space="preserve"> </t>
    </r>
    <r>
      <rPr>
        <sz val="12"/>
        <color theme="1"/>
        <rFont val="돋움"/>
        <family val="3"/>
        <charset val="129"/>
      </rPr>
      <t>다른</t>
    </r>
    <r>
      <rPr>
        <sz val="12"/>
        <color theme="1"/>
        <rFont val="Arial"/>
        <family val="2"/>
      </rPr>
      <t xml:space="preserve"> </t>
    </r>
    <r>
      <rPr>
        <sz val="12"/>
        <color theme="1"/>
        <rFont val="돋움"/>
        <family val="3"/>
        <charset val="129"/>
      </rPr>
      <t>회사에</t>
    </r>
    <r>
      <rPr>
        <sz val="12"/>
        <color theme="1"/>
        <rFont val="Arial"/>
        <family val="2"/>
      </rPr>
      <t xml:space="preserve"> </t>
    </r>
    <r>
      <rPr>
        <sz val="12"/>
        <color theme="1"/>
        <rFont val="돋움"/>
        <family val="3"/>
        <charset val="129"/>
      </rPr>
      <t>임대해</t>
    </r>
    <r>
      <rPr>
        <sz val="12"/>
        <color theme="1"/>
        <rFont val="Arial"/>
        <family val="2"/>
      </rPr>
      <t xml:space="preserve"> </t>
    </r>
    <r>
      <rPr>
        <sz val="12"/>
        <color theme="1"/>
        <rFont val="돋움"/>
        <family val="3"/>
        <charset val="129"/>
      </rPr>
      <t>준</t>
    </r>
    <r>
      <rPr>
        <sz val="12"/>
        <color theme="1"/>
        <rFont val="Arial"/>
        <family val="2"/>
      </rPr>
      <t xml:space="preserve"> </t>
    </r>
    <r>
      <rPr>
        <sz val="12"/>
        <color theme="1"/>
        <rFont val="돋움"/>
        <family val="3"/>
        <charset val="129"/>
      </rPr>
      <t>자산</t>
    </r>
    <r>
      <rPr>
        <sz val="12"/>
        <color theme="1"/>
        <rFont val="Arial"/>
        <family val="2"/>
      </rPr>
      <t xml:space="preserve"> </t>
    </r>
    <r>
      <rPr>
        <sz val="12"/>
        <color theme="1"/>
        <rFont val="돋움"/>
        <family val="3"/>
        <charset val="129"/>
      </rPr>
      <t>등에서</t>
    </r>
    <r>
      <rPr>
        <sz val="12"/>
        <color theme="1"/>
        <rFont val="Arial"/>
        <family val="2"/>
      </rPr>
      <t xml:space="preserve"> </t>
    </r>
    <r>
      <rPr>
        <sz val="12"/>
        <color theme="1"/>
        <rFont val="돋움"/>
        <family val="3"/>
        <charset val="129"/>
      </rPr>
      <t>배출하는</t>
    </r>
    <r>
      <rPr>
        <sz val="12"/>
        <color theme="1"/>
        <rFont val="Arial"/>
        <family val="2"/>
      </rPr>
      <t xml:space="preserve"> </t>
    </r>
    <r>
      <rPr>
        <sz val="12"/>
        <color theme="1"/>
        <rFont val="돋움"/>
        <family val="3"/>
        <charset val="129"/>
      </rPr>
      <t>총</t>
    </r>
    <r>
      <rPr>
        <sz val="12"/>
        <color theme="1"/>
        <rFont val="Arial"/>
        <family val="2"/>
      </rPr>
      <t xml:space="preserve"> </t>
    </r>
    <r>
      <rPr>
        <sz val="12"/>
        <color theme="1"/>
        <rFont val="돋움"/>
        <family val="3"/>
        <charset val="129"/>
      </rPr>
      <t>배출량</t>
    </r>
    <phoneticPr fontId="2" type="noConversion"/>
  </si>
  <si>
    <r>
      <t xml:space="preserve"> 14. </t>
    </r>
    <r>
      <rPr>
        <sz val="12"/>
        <color theme="1"/>
        <rFont val="돋움"/>
        <family val="3"/>
        <charset val="129"/>
      </rPr>
      <t>카테고리</t>
    </r>
    <r>
      <rPr>
        <sz val="12"/>
        <color theme="1"/>
        <rFont val="Arial"/>
        <family val="2"/>
      </rPr>
      <t xml:space="preserve">: </t>
    </r>
    <r>
      <rPr>
        <sz val="12"/>
        <color theme="1"/>
        <rFont val="돋움"/>
        <family val="3"/>
        <charset val="129"/>
      </rPr>
      <t>우리회사의</t>
    </r>
    <r>
      <rPr>
        <sz val="12"/>
        <color theme="1"/>
        <rFont val="Arial"/>
        <family val="2"/>
      </rPr>
      <t xml:space="preserve"> </t>
    </r>
    <r>
      <rPr>
        <sz val="12"/>
        <color theme="1"/>
        <rFont val="돋움"/>
        <family val="3"/>
        <charset val="129"/>
      </rPr>
      <t>가맹점이</t>
    </r>
    <r>
      <rPr>
        <sz val="12"/>
        <color theme="1"/>
        <rFont val="Arial"/>
        <family val="2"/>
      </rPr>
      <t xml:space="preserve"> </t>
    </r>
    <r>
      <rPr>
        <sz val="12"/>
        <color theme="1"/>
        <rFont val="돋움"/>
        <family val="3"/>
        <charset val="129"/>
      </rPr>
      <t>배출하는</t>
    </r>
    <r>
      <rPr>
        <sz val="12"/>
        <color theme="1"/>
        <rFont val="Arial"/>
        <family val="2"/>
      </rPr>
      <t xml:space="preserve"> </t>
    </r>
    <r>
      <rPr>
        <sz val="12"/>
        <color theme="1"/>
        <rFont val="돋움"/>
        <family val="3"/>
        <charset val="129"/>
      </rPr>
      <t>배출량</t>
    </r>
    <phoneticPr fontId="2" type="noConversion"/>
  </si>
  <si>
    <r>
      <t xml:space="preserve"> 15. </t>
    </r>
    <r>
      <rPr>
        <sz val="12"/>
        <color theme="1"/>
        <rFont val="돋움"/>
        <family val="3"/>
        <charset val="129"/>
      </rPr>
      <t>카테고리</t>
    </r>
    <r>
      <rPr>
        <sz val="12"/>
        <color theme="1"/>
        <rFont val="Arial"/>
        <family val="2"/>
      </rPr>
      <t xml:space="preserve">: </t>
    </r>
    <r>
      <rPr>
        <sz val="12"/>
        <color theme="1"/>
        <rFont val="돋움"/>
        <family val="3"/>
        <charset val="129"/>
      </rPr>
      <t>우리회사가</t>
    </r>
    <r>
      <rPr>
        <sz val="12"/>
        <color theme="1"/>
        <rFont val="Arial"/>
        <family val="2"/>
      </rPr>
      <t xml:space="preserve"> </t>
    </r>
    <r>
      <rPr>
        <sz val="12"/>
        <color theme="1"/>
        <rFont val="돋움"/>
        <family val="3"/>
        <charset val="129"/>
      </rPr>
      <t>다른</t>
    </r>
    <r>
      <rPr>
        <sz val="12"/>
        <color theme="1"/>
        <rFont val="Arial"/>
        <family val="2"/>
      </rPr>
      <t xml:space="preserve"> </t>
    </r>
    <r>
      <rPr>
        <sz val="12"/>
        <color theme="1"/>
        <rFont val="돋움"/>
        <family val="3"/>
        <charset val="129"/>
      </rPr>
      <t>회사의</t>
    </r>
    <r>
      <rPr>
        <sz val="12"/>
        <color theme="1"/>
        <rFont val="Arial"/>
        <family val="2"/>
      </rPr>
      <t xml:space="preserve"> </t>
    </r>
    <r>
      <rPr>
        <sz val="12"/>
        <color theme="1"/>
        <rFont val="돋움"/>
        <family val="3"/>
        <charset val="129"/>
      </rPr>
      <t>지분</t>
    </r>
    <r>
      <rPr>
        <sz val="12"/>
        <color theme="1"/>
        <rFont val="Arial"/>
        <family val="2"/>
      </rPr>
      <t xml:space="preserve"> </t>
    </r>
    <r>
      <rPr>
        <sz val="12"/>
        <color theme="1"/>
        <rFont val="돋움"/>
        <family val="3"/>
        <charset val="129"/>
      </rPr>
      <t>참여등을</t>
    </r>
    <r>
      <rPr>
        <sz val="12"/>
        <color theme="1"/>
        <rFont val="Arial"/>
        <family val="2"/>
      </rPr>
      <t xml:space="preserve"> </t>
    </r>
    <r>
      <rPr>
        <sz val="12"/>
        <color theme="1"/>
        <rFont val="돋움"/>
        <family val="3"/>
        <charset val="129"/>
      </rPr>
      <t>통해</t>
    </r>
    <r>
      <rPr>
        <sz val="12"/>
        <color theme="1"/>
        <rFont val="Arial"/>
        <family val="2"/>
      </rPr>
      <t xml:space="preserve"> </t>
    </r>
    <r>
      <rPr>
        <sz val="12"/>
        <color theme="1"/>
        <rFont val="돋움"/>
        <family val="3"/>
        <charset val="129"/>
      </rPr>
      <t>투자한다면</t>
    </r>
    <r>
      <rPr>
        <sz val="12"/>
        <color theme="1"/>
        <rFont val="Arial"/>
        <family val="2"/>
      </rPr>
      <t xml:space="preserve"> </t>
    </r>
    <r>
      <rPr>
        <sz val="12"/>
        <color theme="1"/>
        <rFont val="돋움"/>
        <family val="3"/>
        <charset val="129"/>
      </rPr>
      <t>해당</t>
    </r>
    <r>
      <rPr>
        <sz val="12"/>
        <color theme="1"/>
        <rFont val="Arial"/>
        <family val="2"/>
      </rPr>
      <t xml:space="preserve"> </t>
    </r>
    <r>
      <rPr>
        <sz val="12"/>
        <color theme="1"/>
        <rFont val="돋움"/>
        <family val="3"/>
        <charset val="129"/>
      </rPr>
      <t>기업의</t>
    </r>
    <r>
      <rPr>
        <sz val="12"/>
        <color theme="1"/>
        <rFont val="Arial"/>
        <family val="2"/>
      </rPr>
      <t xml:space="preserve"> </t>
    </r>
    <r>
      <rPr>
        <sz val="12"/>
        <color theme="1"/>
        <rFont val="돋움"/>
        <family val="3"/>
        <charset val="129"/>
      </rPr>
      <t>배출량</t>
    </r>
    <r>
      <rPr>
        <sz val="12"/>
        <color theme="1"/>
        <rFont val="Arial"/>
        <family val="2"/>
      </rPr>
      <t xml:space="preserve"> </t>
    </r>
    <phoneticPr fontId="2" type="noConversion"/>
  </si>
  <si>
    <r>
      <rPr>
        <sz val="11"/>
        <color theme="1"/>
        <rFont val="돋움"/>
        <family val="3"/>
        <charset val="129"/>
      </rPr>
      <t>72개</t>
    </r>
    <r>
      <rPr>
        <sz val="11"/>
        <color theme="1"/>
        <rFont val="Arial"/>
        <family val="2"/>
      </rPr>
      <t xml:space="preserve"> </t>
    </r>
    <phoneticPr fontId="2" type="noConversion"/>
  </si>
  <si>
    <t>scope3</t>
    <phoneticPr fontId="2" type="noConversion"/>
  </si>
  <si>
    <t>scope2</t>
    <phoneticPr fontId="2" type="noConversion"/>
  </si>
  <si>
    <t>19,740 mJ</t>
    <phoneticPr fontId="2" type="noConversion"/>
  </si>
  <si>
    <t>scope</t>
    <phoneticPr fontId="2" type="noConversion"/>
  </si>
  <si>
    <t>연간 가스사용량(고지서)</t>
    <phoneticPr fontId="2" type="noConversion"/>
  </si>
  <si>
    <t xml:space="preserve">연간 전기 사용량(고지서) </t>
    <phoneticPr fontId="2" type="noConversion"/>
  </si>
  <si>
    <t>연간 상하수도사용량(고지서)</t>
    <phoneticPr fontId="2" type="noConversion"/>
  </si>
  <si>
    <t xml:space="preserve">연간 총 사용량 </t>
    <phoneticPr fontId="2" type="noConversion"/>
  </si>
  <si>
    <r>
      <rPr>
        <sz val="11"/>
        <color theme="1"/>
        <rFont val="새굴림"/>
        <family val="2"/>
        <charset val="129"/>
      </rPr>
      <t>연간</t>
    </r>
    <r>
      <rPr>
        <sz val="11"/>
        <color theme="1"/>
        <rFont val="Arial"/>
        <family val="2"/>
      </rPr>
      <t xml:space="preserve"> </t>
    </r>
    <r>
      <rPr>
        <sz val="11"/>
        <color theme="1"/>
        <rFont val="새굴림"/>
        <family val="2"/>
        <charset val="129"/>
      </rPr>
      <t>총</t>
    </r>
    <r>
      <rPr>
        <sz val="11"/>
        <color theme="1"/>
        <rFont val="Arial"/>
        <family val="2"/>
      </rPr>
      <t xml:space="preserve"> </t>
    </r>
    <r>
      <rPr>
        <sz val="11"/>
        <color theme="1"/>
        <rFont val="새굴림"/>
        <family val="2"/>
        <charset val="129"/>
      </rPr>
      <t>사용량</t>
    </r>
    <r>
      <rPr>
        <sz val="11"/>
        <color theme="1"/>
        <rFont val="Arial"/>
        <family val="2"/>
      </rPr>
      <t xml:space="preserve"> </t>
    </r>
    <phoneticPr fontId="2" type="noConversion"/>
  </si>
  <si>
    <r>
      <t>5KG X  20(</t>
    </r>
    <r>
      <rPr>
        <sz val="11"/>
        <color theme="1"/>
        <rFont val="새굴림"/>
        <family val="2"/>
        <charset val="129"/>
      </rPr>
      <t>일)</t>
    </r>
    <r>
      <rPr>
        <sz val="11"/>
        <color theme="1"/>
        <rFont val="Arial"/>
        <family val="2"/>
      </rPr>
      <t xml:space="preserve"> X 12(</t>
    </r>
    <r>
      <rPr>
        <sz val="11"/>
        <color theme="1"/>
        <rFont val="새굴림"/>
        <family val="2"/>
        <charset val="129"/>
      </rPr>
      <t>개월)</t>
    </r>
    <r>
      <rPr>
        <sz val="11"/>
        <color theme="1"/>
        <rFont val="Arial"/>
        <family val="2"/>
      </rPr>
      <t xml:space="preserve">= 1,200KG </t>
    </r>
    <phoneticPr fontId="2" type="noConversion"/>
  </si>
  <si>
    <t>전 직원 출퇴근거리 연간 주유량</t>
    <phoneticPr fontId="2" type="noConversion"/>
  </si>
  <si>
    <t>연간 주유량(법인 차량2대)</t>
    <phoneticPr fontId="2" type="noConversion"/>
  </si>
  <si>
    <r>
      <rPr>
        <sz val="11"/>
        <color theme="1"/>
        <rFont val="돋움"/>
        <family val="3"/>
        <charset val="129"/>
      </rPr>
      <t>업체</t>
    </r>
    <r>
      <rPr>
        <sz val="11"/>
        <color theme="1"/>
        <rFont val="Arial"/>
        <family val="2"/>
      </rPr>
      <t xml:space="preserve"> </t>
    </r>
    <r>
      <rPr>
        <sz val="11"/>
        <color theme="1"/>
        <rFont val="돋움"/>
        <family val="3"/>
        <charset val="129"/>
      </rPr>
      <t>자료기준</t>
    </r>
    <phoneticPr fontId="2" type="noConversion"/>
  </si>
  <si>
    <r>
      <t xml:space="preserve"> * </t>
    </r>
    <r>
      <rPr>
        <b/>
        <sz val="24"/>
        <color theme="1"/>
        <rFont val="새굴림"/>
        <family val="2"/>
        <charset val="129"/>
      </rPr>
      <t xml:space="preserve">참고 자료 </t>
    </r>
    <phoneticPr fontId="2" type="noConversion"/>
  </si>
  <si>
    <t>1.   에너지 온실 가스 종합정보 플랫폼</t>
    <phoneticPr fontId="2" type="noConversion"/>
  </si>
  <si>
    <r>
      <t xml:space="preserve"> 2.  SCOPE3 </t>
    </r>
    <r>
      <rPr>
        <b/>
        <sz val="11"/>
        <color theme="1"/>
        <rFont val="새굴림"/>
        <family val="2"/>
        <charset val="129"/>
      </rPr>
      <t xml:space="preserve">측정 가이드 북 참고 </t>
    </r>
    <phoneticPr fontId="2" type="noConversion"/>
  </si>
  <si>
    <t>https://tips.energy.or.kr/popup/toe.do</t>
    <phoneticPr fontId="2" type="noConversion"/>
  </si>
  <si>
    <t xml:space="preserve">주요 KPI(Key Performance Index) 월별 추이분석 </t>
    <phoneticPr fontId="48" type="noConversion"/>
  </si>
  <si>
    <t>계산방법</t>
    <phoneticPr fontId="48" type="noConversion"/>
  </si>
  <si>
    <t xml:space="preserve">실제사용수량(수율 % ) </t>
    <phoneticPr fontId="48" type="noConversion"/>
  </si>
  <si>
    <t>구분</t>
    <phoneticPr fontId="48" type="noConversion"/>
  </si>
  <si>
    <t>2023년下</t>
    <phoneticPr fontId="2" type="noConversion"/>
  </si>
  <si>
    <t>2024년</t>
    <phoneticPr fontId="48" type="noConversion"/>
  </si>
  <si>
    <t>1월</t>
    <phoneticPr fontId="48" type="noConversion"/>
  </si>
  <si>
    <t>2월</t>
    <phoneticPr fontId="2" type="noConversion"/>
  </si>
  <si>
    <t>3월</t>
    <phoneticPr fontId="2" type="noConversion"/>
  </si>
  <si>
    <t>4월</t>
    <phoneticPr fontId="2" type="noConversion"/>
  </si>
  <si>
    <t>5월</t>
    <phoneticPr fontId="2" type="noConversion"/>
  </si>
  <si>
    <t>6월</t>
    <phoneticPr fontId="2" type="noConversion"/>
  </si>
  <si>
    <t>7월</t>
    <phoneticPr fontId="2" type="noConversion"/>
  </si>
  <si>
    <t>8월</t>
    <phoneticPr fontId="2" type="noConversion"/>
  </si>
  <si>
    <t>9월</t>
    <phoneticPr fontId="2" type="noConversion"/>
  </si>
  <si>
    <t>10월</t>
    <phoneticPr fontId="2" type="noConversion"/>
  </si>
  <si>
    <t>11월</t>
    <phoneticPr fontId="2" type="noConversion"/>
  </si>
  <si>
    <t>계획</t>
    <phoneticPr fontId="48" type="noConversion"/>
  </si>
  <si>
    <t>실적</t>
    <phoneticPr fontId="48" type="noConversion"/>
  </si>
  <si>
    <t>모니터링 기준</t>
    <phoneticPr fontId="48" type="noConversion"/>
  </si>
  <si>
    <t xml:space="preserve">  사용 매수 (단원:  EA)</t>
    <phoneticPr fontId="48" type="noConversion"/>
  </si>
  <si>
    <t>계산방법</t>
    <phoneticPr fontId="48" type="noConversion"/>
  </si>
  <si>
    <t xml:space="preserve"> 실제 사용량 </t>
    <phoneticPr fontId="48" type="noConversion"/>
  </si>
  <si>
    <t>구분</t>
    <phoneticPr fontId="48" type="noConversion"/>
  </si>
  <si>
    <t>평균</t>
    <phoneticPr fontId="2" type="noConversion"/>
  </si>
  <si>
    <t>1월</t>
    <phoneticPr fontId="48" type="noConversion"/>
  </si>
  <si>
    <t>2월</t>
    <phoneticPr fontId="2" type="noConversion"/>
  </si>
  <si>
    <t>3월</t>
    <phoneticPr fontId="2" type="noConversion"/>
  </si>
  <si>
    <t>4월</t>
    <phoneticPr fontId="2" type="noConversion"/>
  </si>
  <si>
    <t>5월</t>
    <phoneticPr fontId="2" type="noConversion"/>
  </si>
  <si>
    <t>6월</t>
    <phoneticPr fontId="2" type="noConversion"/>
  </si>
  <si>
    <t>8월</t>
    <phoneticPr fontId="2" type="noConversion"/>
  </si>
  <si>
    <t>10월</t>
    <phoneticPr fontId="2" type="noConversion"/>
  </si>
  <si>
    <t>계산방법</t>
    <phoneticPr fontId="48" type="noConversion"/>
  </si>
  <si>
    <t>실제사용금액</t>
    <phoneticPr fontId="48" type="noConversion"/>
  </si>
  <si>
    <t>구분</t>
    <phoneticPr fontId="48" type="noConversion"/>
  </si>
  <si>
    <t>2023년下</t>
    <phoneticPr fontId="2" type="noConversion"/>
  </si>
  <si>
    <t>2024년</t>
    <phoneticPr fontId="48" type="noConversion"/>
  </si>
  <si>
    <t>평균</t>
    <phoneticPr fontId="2" type="noConversion"/>
  </si>
  <si>
    <t>1월</t>
    <phoneticPr fontId="48" type="noConversion"/>
  </si>
  <si>
    <t>2월</t>
    <phoneticPr fontId="2" type="noConversion"/>
  </si>
  <si>
    <t>3월</t>
    <phoneticPr fontId="2" type="noConversion"/>
  </si>
  <si>
    <t>4월</t>
    <phoneticPr fontId="2" type="noConversion"/>
  </si>
  <si>
    <t>5월</t>
    <phoneticPr fontId="2" type="noConversion"/>
  </si>
  <si>
    <t>6월</t>
    <phoneticPr fontId="2" type="noConversion"/>
  </si>
  <si>
    <t>7월</t>
    <phoneticPr fontId="2" type="noConversion"/>
  </si>
  <si>
    <t>2023년下</t>
    <phoneticPr fontId="2" type="noConversion"/>
  </si>
  <si>
    <t>1월</t>
    <phoneticPr fontId="48" type="noConversion"/>
  </si>
  <si>
    <t xml:space="preserve"> KPI(성과지표) 그래프</t>
    <phoneticPr fontId="2" type="noConversion"/>
  </si>
  <si>
    <t>1. 원단 로스 수율(%)</t>
    <phoneticPr fontId="48" type="noConversion"/>
  </si>
  <si>
    <t>2.  폐기물 마대 감소율</t>
    <phoneticPr fontId="48" type="noConversion"/>
  </si>
  <si>
    <t>3. 전기소비량</t>
    <phoneticPr fontId="48" type="noConversion"/>
  </si>
  <si>
    <t>4. 가스소비량</t>
    <phoneticPr fontId="48" type="noConversion"/>
  </si>
  <si>
    <t>5.  상하수도소비량</t>
    <phoneticPr fontId="48" type="noConversion"/>
  </si>
  <si>
    <r>
      <t xml:space="preserve">14,691 </t>
    </r>
    <r>
      <rPr>
        <sz val="11"/>
        <color theme="1"/>
        <rFont val="맑은 고딕"/>
        <family val="2"/>
        <charset val="129"/>
      </rPr>
      <t>리터</t>
    </r>
    <phoneticPr fontId="2" type="noConversion"/>
  </si>
  <si>
    <r>
      <t xml:space="preserve">12,850 </t>
    </r>
    <r>
      <rPr>
        <sz val="11"/>
        <color theme="1"/>
        <rFont val="돋움"/>
        <family val="3"/>
        <charset val="129"/>
      </rPr>
      <t>리터</t>
    </r>
    <phoneticPr fontId="2" type="noConversion"/>
  </si>
  <si>
    <r>
      <t>2024</t>
    </r>
    <r>
      <rPr>
        <b/>
        <sz val="16"/>
        <color theme="1"/>
        <rFont val="돋움"/>
        <family val="3"/>
        <charset val="129"/>
      </rPr>
      <t>년</t>
    </r>
    <r>
      <rPr>
        <b/>
        <sz val="16"/>
        <color theme="1"/>
        <rFont val="Arial"/>
        <family val="2"/>
      </rPr>
      <t xml:space="preserve"> </t>
    </r>
    <r>
      <rPr>
        <b/>
        <sz val="16"/>
        <color theme="1"/>
        <rFont val="돋움"/>
        <family val="3"/>
        <charset val="129"/>
      </rPr>
      <t>배출량</t>
    </r>
    <r>
      <rPr>
        <b/>
        <sz val="16"/>
        <color theme="1"/>
        <rFont val="Arial"/>
        <family val="2"/>
      </rPr>
      <t xml:space="preserve"> </t>
    </r>
    <r>
      <rPr>
        <b/>
        <sz val="16"/>
        <color theme="1"/>
        <rFont val="돋움"/>
        <family val="3"/>
        <charset val="129"/>
      </rPr>
      <t>계산</t>
    </r>
    <phoneticPr fontId="2" type="noConversion"/>
  </si>
  <si>
    <r>
      <rPr>
        <sz val="11"/>
        <color theme="1"/>
        <rFont val="돋움"/>
        <family val="3"/>
        <charset val="129"/>
      </rPr>
      <t>55개</t>
    </r>
    <r>
      <rPr>
        <sz val="11"/>
        <color theme="1"/>
        <rFont val="Arial"/>
        <family val="2"/>
      </rPr>
      <t xml:space="preserve"> </t>
    </r>
    <phoneticPr fontId="2" type="noConversion"/>
  </si>
  <si>
    <t xml:space="preserve">2,630 KG </t>
    <phoneticPr fontId="2" type="noConversion"/>
  </si>
  <si>
    <t xml:space="preserve">외부급식으로 전환(23년_1,200kg) </t>
    <phoneticPr fontId="2" type="noConversion"/>
  </si>
  <si>
    <t>448,582 KW</t>
    <phoneticPr fontId="2" type="noConversion"/>
  </si>
  <si>
    <t>24,899 mJ</t>
    <phoneticPr fontId="2" type="noConversion"/>
  </si>
  <si>
    <t>948 ton</t>
    <phoneticPr fontId="2" type="noConversion"/>
  </si>
  <si>
    <r>
      <t xml:space="preserve">4125 </t>
    </r>
    <r>
      <rPr>
        <sz val="11"/>
        <color theme="1"/>
        <rFont val="돋움"/>
        <family val="3"/>
        <charset val="129"/>
      </rPr>
      <t>리터</t>
    </r>
    <r>
      <rPr>
        <sz val="11"/>
        <color theme="1"/>
        <rFont val="Arial"/>
        <family val="2"/>
      </rPr>
      <t>(75</t>
    </r>
    <r>
      <rPr>
        <sz val="11"/>
        <color theme="1"/>
        <rFont val="돋움"/>
        <family val="3"/>
        <charset val="129"/>
      </rPr>
      <t>리터</t>
    </r>
    <r>
      <rPr>
        <sz val="11"/>
        <color theme="1"/>
        <rFont val="Arial"/>
        <family val="2"/>
      </rPr>
      <t xml:space="preserve"> X 55</t>
    </r>
    <r>
      <rPr>
        <sz val="11"/>
        <color theme="1"/>
        <rFont val="돋움"/>
        <family val="3"/>
        <charset val="129"/>
      </rPr>
      <t>개</t>
    </r>
    <r>
      <rPr>
        <sz val="11"/>
        <color theme="1"/>
        <rFont val="Arial"/>
        <family val="2"/>
      </rPr>
      <t>)</t>
    </r>
    <phoneticPr fontId="2" type="noConversion"/>
  </si>
  <si>
    <t>South Korea</t>
    <phoneticPr fontId="2" type="noConversion"/>
  </si>
  <si>
    <t>기후변화 대응을 위한 공급사 현황 조사표</t>
    <phoneticPr fontId="2" type="noConversion"/>
  </si>
  <si>
    <t>A. 배경</t>
    <phoneticPr fontId="2" type="noConversion"/>
  </si>
  <si>
    <t>현재 국제사회는 기후변화에 대응하기 위한 포괄적 정책 방향으로 ‘탄소중립(carbon neutrality)’을 선언하고, 온실가스 감축정책을 적극적으로 추진하고 있습니다.</t>
    <phoneticPr fontId="2" type="noConversion"/>
  </si>
  <si>
    <t>파리협정(Paris Agreement)의 지구온난화 완화 목표인 ‘2100년까지 지구 평균온도 상승을 산업화 이전 대비 2℃ 이하로 제한’을 달성하기 위해서는 현재보다 상향된 온실가스 감축 노력이 필요하며, 이러한 맥락에서 국제사회는 탄소중립 2050년 탄소중립 목표에 주목하고 있으며, 많은 기업들이 이보다 앞서 탄소중립에 대한 목표를 수립하고 대응하고 있습니다.</t>
    <phoneticPr fontId="2" type="noConversion"/>
  </si>
  <si>
    <t>이러한 측면에서 기후변화 대응은 삼성바이오로직의 제품과 서비스부터 제조공정, 공급망, 연구개발, 그외 여러 경영활동에 영향을 미치므로 각각의 기후변화 리스크와 기회요인 분석이 필요합니다.</t>
    <phoneticPr fontId="2" type="noConversion"/>
  </si>
  <si>
    <t>B. 목적</t>
    <phoneticPr fontId="2" type="noConversion"/>
  </si>
  <si>
    <t xml:space="preserve">㈜삼화당피앤티는 기후변화 대응을 위해 재생에너지로의 전환, 운송부문 배출량 상쇄등 여러 핵심활동을 우선 실행 범위로 설정하였습니다. 내부적 노력을 기울이는 과정에서 글로벌 차원에서 상호 협력할 때 더 큰 영향력을 발휘할 수 있음을 또한 인식하게 되었습니다. </t>
    <phoneticPr fontId="2" type="noConversion"/>
  </si>
  <si>
    <t xml:space="preserve">㈜삼화당피앤티는 기후변화 위험과 기회를 분석하고 효과적인 대응 전략을 수립하였습니다. 사업 전반에 걸쳐 배출하는 온실가스 배출의 3가지 범주인 Scope 1, 2, 3를 면밀히 파악하고 관리하는 것은 기후변화 대응을 위한 ㈜삼화당피앤티의 기본적 목표입니다.  </t>
    <phoneticPr fontId="2" type="noConversion"/>
  </si>
  <si>
    <t>※ Scope1, Scope2, Scope3 정의</t>
    <phoneticPr fontId="2" type="noConversion"/>
  </si>
  <si>
    <t>Scope1 : 사업장에서 밸생되는 직접 배출량</t>
    <phoneticPr fontId="2" type="noConversion"/>
  </si>
  <si>
    <t xml:space="preserve">           → 사업자가 직접적으로 소유하고 통제하는 사업장내에서 운영 및 활동에 관계되어 온실가스가 직접적으로 배출되는 배출원</t>
    <phoneticPr fontId="2" type="noConversion"/>
  </si>
  <si>
    <t>Scope2 : 사업장이 소비하는 전기, 증기, 난방 및 냉방을 구매한 전기, 증기, 냉난방 발전으로 인한 간접 배출량</t>
    <phoneticPr fontId="2" type="noConversion"/>
  </si>
  <si>
    <t xml:space="preserve">           → 전력/스팀을 외부로부터 공급받아 사용하는 경우, 공급업체에서 전력 및 스팀을 생산하는 과정에서 온실가스가 배출되는 배출원</t>
    <phoneticPr fontId="2" type="noConversion"/>
  </si>
  <si>
    <t>Scope3 : 회사의 가치 사슬에서 발생하는 기타 모든 간접 배출량</t>
    <phoneticPr fontId="2" type="noConversion"/>
  </si>
  <si>
    <t xml:space="preserve">           → 에너지 사용과 온실가스 배츨 모두 조직경계 밖에서 일어나, 기업의 통제범위 밖에서 발생하는 배출원</t>
    <phoneticPr fontId="2" type="noConversion"/>
  </si>
  <si>
    <t>본 조사표는 Scope3 배출 협력사 물품 공급 단계에 해당하는 '구매한 제품 및 서비스'에 해당되는 범주를 조사하고자 작성되었으며, 자료의 출저는 Greenhouse gas protocol에서 발간한 'Technical Guidance For Calculating Scope 3 Emissions (version 1.0)' 가이드를 기준으로 작성하였습니다.</t>
  </si>
  <si>
    <t>회사명</t>
    <phoneticPr fontId="2" type="noConversion"/>
  </si>
  <si>
    <t xml:space="preserve"> ㈜삼화당피앤티</t>
    <phoneticPr fontId="2" type="noConversion"/>
  </si>
  <si>
    <t>국적</t>
    <phoneticPr fontId="2" type="noConversion"/>
  </si>
  <si>
    <t xml:space="preserve"> 대한민국</t>
    <phoneticPr fontId="2" type="noConversion"/>
  </si>
  <si>
    <t>주소</t>
    <phoneticPr fontId="2" type="noConversion"/>
  </si>
  <si>
    <t xml:space="preserve"> 경기도 남양주시 진건읍 진관산단로59번길 39</t>
    <phoneticPr fontId="2" type="noConversion"/>
  </si>
  <si>
    <t>담당자</t>
    <phoneticPr fontId="2" type="noConversion"/>
  </si>
  <si>
    <t>소속</t>
    <phoneticPr fontId="2" type="noConversion"/>
  </si>
  <si>
    <t>연구소</t>
    <phoneticPr fontId="2" type="noConversion"/>
  </si>
  <si>
    <t>성명</t>
    <phoneticPr fontId="2" type="noConversion"/>
  </si>
  <si>
    <t xml:space="preserve"> 김 기 태 </t>
    <phoneticPr fontId="2" type="noConversion"/>
  </si>
  <si>
    <t>전화번호</t>
    <phoneticPr fontId="2" type="noConversion"/>
  </si>
  <si>
    <t>02- 464- 3752</t>
    <phoneticPr fontId="2" type="noConversion"/>
  </si>
  <si>
    <t>Email</t>
    <phoneticPr fontId="2" type="noConversion"/>
  </si>
  <si>
    <t>ktkim@samhwadang.co.kr</t>
    <phoneticPr fontId="2" type="noConversion"/>
  </si>
  <si>
    <t>㈜삼화당피앤티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</si>
</sst>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 #,##0_-;_-* &quot;-&quot;_-;_-@_-"/>
    <numFmt numFmtId="176" formatCode="#,##0_ "/>
    <numFmt numFmtId="177" formatCode="0.000E+00"/>
    <numFmt numFmtId="178" formatCode="#,##0.0_ "/>
    <numFmt numFmtId="179" formatCode="0.000000"/>
    <numFmt numFmtId="180" formatCode="0.0"/>
    <numFmt numFmtId="181" formatCode="0.0%"/>
    <numFmt numFmtId="182" formatCode="#,##0.000_);[Red]\(#,##0.000\)"/>
    <numFmt numFmtId="183" formatCode="#,##0.00_ "/>
    <numFmt numFmtId="184" formatCode="0_);[Red]\(0\)"/>
    <numFmt numFmtId="185" formatCode="#,##0_);[Red]\(#,##0\)"/>
    <numFmt numFmtId="186" formatCode="&quot;₩&quot;#,##0"/>
  </numFmts>
  <fonts count="72">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1"/>
      <color theme="0"/>
      <name val="맑은 고딕"/>
      <family val="3"/>
      <charset val="129"/>
      <scheme val="minor"/>
    </font>
    <font>
      <b/>
      <sz val="14"/>
      <color theme="1"/>
      <name val="맑은 고딕"/>
      <family val="3"/>
      <charset val="129"/>
      <scheme val="minor"/>
    </font>
    <font>
      <sz val="11"/>
      <color theme="1"/>
      <name val="맑은 고딕"/>
      <family val="3"/>
      <charset val="129"/>
      <scheme val="minor"/>
    </font>
    <font>
      <b/>
      <sz val="16"/>
      <color theme="1"/>
      <name val="Arial"/>
      <family val="2"/>
    </font>
    <font>
      <sz val="11"/>
      <color theme="1"/>
      <name val="Arial"/>
      <family val="2"/>
    </font>
    <font>
      <sz val="10"/>
      <name val="Arial"/>
      <family val="2"/>
    </font>
    <font>
      <sz val="11"/>
      <name val="Arial"/>
      <family val="2"/>
    </font>
    <font>
      <sz val="11"/>
      <color theme="1"/>
      <name val="맑은 고딕"/>
      <family val="2"/>
      <scheme val="minor"/>
    </font>
    <font>
      <sz val="10"/>
      <color indexed="8"/>
      <name val="Arial"/>
      <family val="2"/>
    </font>
    <font>
      <sz val="11"/>
      <color indexed="8"/>
      <name val="Arial"/>
      <family val="2"/>
    </font>
    <font>
      <b/>
      <sz val="11"/>
      <color theme="0"/>
      <name val="Arial"/>
      <family val="2"/>
    </font>
    <font>
      <b/>
      <vertAlign val="subscript"/>
      <sz val="11"/>
      <color theme="0"/>
      <name val="Arial"/>
      <family val="2"/>
    </font>
    <font>
      <b/>
      <vertAlign val="subscript"/>
      <sz val="11"/>
      <color theme="0"/>
      <name val="맑은 고딕"/>
      <family val="3"/>
      <charset val="129"/>
      <scheme val="minor"/>
    </font>
    <font>
      <vertAlign val="superscript"/>
      <sz val="11"/>
      <color theme="1"/>
      <name val="Arial"/>
      <family val="2"/>
    </font>
    <font>
      <b/>
      <sz val="12"/>
      <color theme="1"/>
      <name val="맑은 고딕"/>
      <family val="3"/>
      <charset val="129"/>
      <scheme val="minor"/>
    </font>
    <font>
      <b/>
      <sz val="12"/>
      <color theme="0"/>
      <name val="맑은 고딕"/>
      <family val="3"/>
      <charset val="129"/>
      <scheme val="minor"/>
    </font>
    <font>
      <b/>
      <vertAlign val="subscript"/>
      <sz val="12"/>
      <color theme="0"/>
      <name val="맑은 고딕"/>
      <family val="3"/>
      <charset val="129"/>
      <scheme val="minor"/>
    </font>
    <font>
      <sz val="12"/>
      <color theme="1"/>
      <name val="맑은 고딕"/>
      <family val="3"/>
      <charset val="129"/>
      <scheme val="minor"/>
    </font>
    <font>
      <b/>
      <sz val="11"/>
      <name val="맑은 고딕"/>
      <family val="3"/>
      <charset val="129"/>
      <scheme val="minor"/>
    </font>
    <font>
      <sz val="11"/>
      <color theme="1"/>
      <name val="맑은 고딕"/>
      <family val="2"/>
      <charset val="129"/>
    </font>
    <font>
      <sz val="11"/>
      <color rgb="FF000000"/>
      <name val="맑은 고딕"/>
      <family val="2"/>
      <charset val="129"/>
    </font>
    <font>
      <sz val="8"/>
      <name val="맑은 고딕"/>
      <family val="2"/>
      <charset val="129"/>
    </font>
    <font>
      <sz val="11"/>
      <color rgb="FF000000"/>
      <name val="Arial"/>
      <family val="2"/>
    </font>
    <font>
      <sz val="10"/>
      <color theme="1"/>
      <name val="Arial"/>
      <family val="2"/>
    </font>
    <font>
      <u/>
      <sz val="11"/>
      <color theme="10"/>
      <name val="맑은 고딕"/>
      <family val="2"/>
      <charset val="129"/>
      <scheme val="minor"/>
    </font>
    <font>
      <b/>
      <sz val="11"/>
      <color theme="1"/>
      <name val="Arial"/>
      <family val="2"/>
    </font>
    <font>
      <b/>
      <sz val="12"/>
      <color theme="1"/>
      <name val="Arial"/>
      <family val="2"/>
    </font>
    <font>
      <sz val="12"/>
      <color theme="1"/>
      <name val="Arial"/>
      <family val="2"/>
    </font>
    <font>
      <b/>
      <sz val="24"/>
      <color theme="1"/>
      <name val="Arial"/>
      <family val="2"/>
    </font>
    <font>
      <b/>
      <sz val="16"/>
      <color theme="1"/>
      <name val="맑은 고딕"/>
      <family val="3"/>
      <charset val="129"/>
    </font>
    <font>
      <b/>
      <sz val="14"/>
      <color rgb="FF512373"/>
      <name val="Arial"/>
      <family val="2"/>
    </font>
    <font>
      <b/>
      <sz val="11"/>
      <color theme="0"/>
      <name val="맑은 고딕"/>
      <family val="3"/>
      <charset val="129"/>
    </font>
    <font>
      <b/>
      <sz val="11"/>
      <name val="Arial"/>
      <family val="2"/>
    </font>
    <font>
      <vertAlign val="subscript"/>
      <sz val="11"/>
      <name val="Arial"/>
      <family val="2"/>
    </font>
    <font>
      <b/>
      <sz val="11"/>
      <color rgb="FFFF0000"/>
      <name val="맑은 고딕"/>
      <family val="3"/>
      <charset val="129"/>
      <scheme val="minor"/>
    </font>
    <font>
      <sz val="11"/>
      <color rgb="FFFF0000"/>
      <name val="맑은 고딕"/>
      <family val="3"/>
      <charset val="129"/>
      <scheme val="minor"/>
    </font>
    <font>
      <b/>
      <sz val="20"/>
      <color theme="1"/>
      <name val="Arial"/>
      <family val="2"/>
    </font>
    <font>
      <b/>
      <sz val="12"/>
      <color rgb="FFFF0000"/>
      <name val="맑은 고딕"/>
      <family val="3"/>
      <charset val="129"/>
      <scheme val="minor"/>
    </font>
    <font>
      <b/>
      <sz val="11"/>
      <color rgb="FFFF0000"/>
      <name val="Arial"/>
      <family val="2"/>
    </font>
    <font>
      <sz val="10"/>
      <color theme="1"/>
      <name val="맑은 고딕"/>
      <family val="2"/>
      <charset val="129"/>
      <scheme val="minor"/>
    </font>
    <font>
      <b/>
      <sz val="11"/>
      <color theme="1"/>
      <name val="Arial Unicode MS"/>
      <family val="2"/>
      <charset val="129"/>
    </font>
    <font>
      <b/>
      <sz val="11"/>
      <color theme="1"/>
      <name val="Arial"/>
      <family val="2"/>
      <charset val="129"/>
    </font>
    <font>
      <sz val="11"/>
      <name val="돋움"/>
      <family val="3"/>
      <charset val="129"/>
    </font>
    <font>
      <b/>
      <sz val="18"/>
      <name val="돋움"/>
      <family val="3"/>
      <charset val="129"/>
    </font>
    <font>
      <sz val="8"/>
      <name val="돋움"/>
      <family val="3"/>
      <charset val="129"/>
    </font>
    <font>
      <sz val="9"/>
      <name val="돋움"/>
      <family val="3"/>
      <charset val="129"/>
    </font>
    <font>
      <b/>
      <sz val="12"/>
      <name val="돋움"/>
      <family val="3"/>
      <charset val="129"/>
    </font>
    <font>
      <sz val="12"/>
      <name val="바탕체"/>
      <family val="1"/>
      <charset val="129"/>
    </font>
    <font>
      <sz val="11"/>
      <color theme="1"/>
      <name val="돋움"/>
      <family val="3"/>
      <charset val="129"/>
    </font>
    <font>
      <b/>
      <sz val="11"/>
      <color theme="1"/>
      <name val="돋움"/>
      <family val="3"/>
      <charset val="129"/>
    </font>
    <font>
      <b/>
      <sz val="12"/>
      <color theme="1"/>
      <name val="돋움"/>
      <family val="3"/>
      <charset val="129"/>
    </font>
    <font>
      <b/>
      <sz val="14"/>
      <color theme="1"/>
      <name val="돋움"/>
      <family val="3"/>
      <charset val="129"/>
    </font>
    <font>
      <b/>
      <sz val="14"/>
      <color theme="1"/>
      <name val="Arial"/>
      <family val="2"/>
    </font>
    <font>
      <sz val="12"/>
      <color theme="1"/>
      <name val="돋움"/>
      <family val="3"/>
      <charset val="129"/>
    </font>
    <font>
      <b/>
      <sz val="16"/>
      <color theme="1"/>
      <name val="돋움"/>
      <family val="3"/>
      <charset val="129"/>
    </font>
    <font>
      <sz val="11"/>
      <color theme="1"/>
      <name val="Arial"/>
      <family val="3"/>
      <charset val="129"/>
    </font>
    <font>
      <sz val="11"/>
      <color theme="1"/>
      <name val="새굴림"/>
      <family val="2"/>
      <charset val="129"/>
    </font>
    <font>
      <sz val="11"/>
      <color theme="1"/>
      <name val="Arial"/>
      <family val="2"/>
      <charset val="129"/>
    </font>
    <font>
      <b/>
      <sz val="11"/>
      <color theme="1"/>
      <name val="새굴림"/>
      <family val="2"/>
      <charset val="129"/>
    </font>
    <font>
      <b/>
      <sz val="11"/>
      <color theme="1"/>
      <name val="새굴림"/>
      <family val="1"/>
      <charset val="129"/>
    </font>
    <font>
      <b/>
      <sz val="24"/>
      <color theme="1"/>
      <name val="새굴림"/>
      <family val="2"/>
      <charset val="129"/>
    </font>
    <font>
      <b/>
      <sz val="30"/>
      <color theme="1"/>
      <name val="맑은 고딕"/>
      <family val="3"/>
      <charset val="129"/>
      <scheme val="minor"/>
    </font>
    <font>
      <sz val="10"/>
      <color theme="1"/>
      <name val="맑은 고딕"/>
      <family val="3"/>
      <charset val="129"/>
      <scheme val="minor"/>
    </font>
    <font>
      <sz val="10"/>
      <name val="맑은 고딕"/>
      <family val="3"/>
      <charset val="129"/>
      <scheme val="minor"/>
    </font>
    <font>
      <b/>
      <sz val="10"/>
      <name val="맑은 고딕"/>
      <family val="3"/>
      <charset val="129"/>
      <scheme val="minor"/>
    </font>
    <font>
      <sz val="9"/>
      <color theme="1"/>
      <name val="맑은 고딕"/>
      <family val="3"/>
      <charset val="129"/>
      <scheme val="minor"/>
    </font>
    <font>
      <b/>
      <sz val="22"/>
      <color theme="1"/>
      <name val="맑은 고딕"/>
      <family val="3"/>
      <charset val="129"/>
      <scheme val="minor"/>
    </font>
    <font>
      <b/>
      <sz val="24"/>
      <color theme="1"/>
      <name val="맑은 고딕"/>
      <family val="3"/>
      <charset val="129"/>
      <scheme val="minor"/>
    </font>
  </fonts>
  <fills count="17">
    <fill>
      <patternFill patternType="none"/>
    </fill>
    <fill>
      <patternFill patternType="gray125"/>
    </fill>
    <fill>
      <patternFill patternType="solid">
        <fgColor rgb="FF002060"/>
        <bgColor indexed="64"/>
      </patternFill>
    </fill>
    <fill>
      <patternFill patternType="solid">
        <fgColor theme="4" tint="-0.499984740745262"/>
        <bgColor indexed="64"/>
      </patternFill>
    </fill>
    <fill>
      <patternFill patternType="solid">
        <fgColor rgb="FFFFFFCC"/>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CC"/>
        <bgColor rgb="FF000000"/>
      </patternFill>
    </fill>
    <fill>
      <patternFill patternType="solid">
        <fgColor rgb="FFE2EFDA"/>
        <bgColor rgb="FF000000"/>
      </patternFill>
    </fill>
    <fill>
      <patternFill patternType="solid">
        <fgColor rgb="FFD9D9D9"/>
        <bgColor rgb="FF000000"/>
      </patternFill>
    </fill>
    <fill>
      <patternFill patternType="solid">
        <fgColor rgb="FFFAFAFF"/>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indexed="22"/>
        <bgColor indexed="64"/>
      </patternFill>
    </fill>
    <fill>
      <patternFill patternType="solid">
        <fgColor rgb="FFFFFF00"/>
        <bgColor indexed="64"/>
      </patternFill>
    </fill>
    <fill>
      <patternFill patternType="solid">
        <fgColor rgb="FFEAF3FA"/>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double">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0" fontId="9" fillId="0" borderId="0"/>
    <xf numFmtId="0" fontId="11" fillId="0" borderId="0"/>
    <xf numFmtId="0" fontId="12" fillId="0" borderId="0"/>
    <xf numFmtId="0" fontId="28" fillId="0" borderId="0" applyNumberFormat="0" applyFill="0" applyBorder="0" applyAlignment="0" applyProtection="0">
      <alignment vertical="center"/>
    </xf>
    <xf numFmtId="0" fontId="46"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6" fillId="0" borderId="0" applyFont="0" applyFill="0" applyBorder="0" applyAlignment="0" applyProtection="0"/>
    <xf numFmtId="0" fontId="51" fillId="0" borderId="0"/>
    <xf numFmtId="0" fontId="46" fillId="0" borderId="0"/>
    <xf numFmtId="0" fontId="28" fillId="0" borderId="0" applyNumberFormat="0" applyFill="0" applyBorder="0" applyAlignment="0" applyProtection="0">
      <alignment vertical="center"/>
    </xf>
  </cellStyleXfs>
  <cellXfs count="28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4" fillId="2" borderId="1" xfId="0" applyFont="1" applyFill="1" applyBorder="1">
      <alignment vertical="center"/>
    </xf>
    <xf numFmtId="0" fontId="5" fillId="0" borderId="0" xfId="0" applyFont="1">
      <alignment vertical="center"/>
    </xf>
    <xf numFmtId="0" fontId="0" fillId="0" borderId="0" xfId="0" applyAlignment="1">
      <alignment horizontal="left" vertical="center"/>
    </xf>
    <xf numFmtId="0" fontId="6" fillId="4" borderId="5" xfId="0" applyFont="1" applyFill="1" applyBorder="1">
      <alignment vertical="center"/>
    </xf>
    <xf numFmtId="0" fontId="7" fillId="0" borderId="0" xfId="0" applyFont="1">
      <alignment vertical="center"/>
    </xf>
    <xf numFmtId="0" fontId="8" fillId="5" borderId="0" xfId="0" applyFont="1" applyFill="1">
      <alignment vertical="center"/>
    </xf>
    <xf numFmtId="0" fontId="8" fillId="0" borderId="0" xfId="0" applyFont="1">
      <alignment vertical="center"/>
    </xf>
    <xf numFmtId="0" fontId="8" fillId="6" borderId="1" xfId="0" applyFont="1" applyFill="1" applyBorder="1">
      <alignment vertical="center"/>
    </xf>
    <xf numFmtId="0" fontId="10" fillId="5" borderId="1" xfId="3" applyFont="1" applyFill="1" applyBorder="1" applyAlignment="1">
      <alignment vertical="center"/>
    </xf>
    <xf numFmtId="0" fontId="8" fillId="5" borderId="1" xfId="4" applyFont="1" applyFill="1" applyBorder="1" applyAlignment="1">
      <alignment horizontal="left" vertical="center"/>
    </xf>
    <xf numFmtId="0" fontId="8" fillId="0" borderId="1" xfId="0" applyFont="1" applyBorder="1">
      <alignment vertical="center"/>
    </xf>
    <xf numFmtId="0" fontId="13" fillId="5" borderId="1" xfId="5" applyFont="1" applyFill="1" applyBorder="1" applyAlignment="1">
      <alignment horizontal="left" vertical="center"/>
    </xf>
    <xf numFmtId="0" fontId="8" fillId="5" borderId="1" xfId="4" quotePrefix="1" applyFont="1" applyFill="1" applyBorder="1" applyAlignment="1">
      <alignment horizontal="left" vertical="center"/>
    </xf>
    <xf numFmtId="0" fontId="0" fillId="5" borderId="0" xfId="0" applyFill="1">
      <alignment vertical="center"/>
    </xf>
    <xf numFmtId="0" fontId="4" fillId="2" borderId="2" xfId="0" applyFont="1" applyFill="1" applyBorder="1">
      <alignment vertical="center"/>
    </xf>
    <xf numFmtId="0" fontId="4" fillId="2" borderId="2" xfId="0" applyFont="1" applyFill="1" applyBorder="1" applyAlignment="1">
      <alignment vertical="center" wrapText="1"/>
    </xf>
    <xf numFmtId="178" fontId="6" fillId="7" borderId="5" xfId="0" applyNumberFormat="1" applyFont="1" applyFill="1" applyBorder="1">
      <alignment vertical="center"/>
    </xf>
    <xf numFmtId="0" fontId="8" fillId="0" borderId="2"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3" xfId="0" applyFont="1" applyBorder="1" applyAlignment="1">
      <alignment vertical="center" wrapText="1"/>
    </xf>
    <xf numFmtId="0" fontId="8" fillId="0" borderId="6" xfId="0" applyFont="1" applyBorder="1">
      <alignment vertical="center"/>
    </xf>
    <xf numFmtId="0" fontId="8" fillId="0" borderId="7" xfId="0" applyFont="1" applyBorder="1">
      <alignment vertical="center"/>
    </xf>
    <xf numFmtId="179" fontId="6" fillId="4" borderId="5" xfId="0" applyNumberFormat="1" applyFont="1" applyFill="1" applyBorder="1">
      <alignment vertical="center"/>
    </xf>
    <xf numFmtId="0" fontId="14" fillId="3" borderId="5" xfId="0" applyFont="1" applyFill="1" applyBorder="1">
      <alignment vertical="center"/>
    </xf>
    <xf numFmtId="0" fontId="14" fillId="3" borderId="5" xfId="0" applyFont="1" applyFill="1" applyBorder="1" applyAlignment="1">
      <alignment vertical="center" wrapText="1"/>
    </xf>
    <xf numFmtId="0" fontId="0" fillId="4" borderId="1" xfId="0" applyFill="1" applyBorder="1">
      <alignment vertical="center"/>
    </xf>
    <xf numFmtId="0" fontId="18" fillId="0" borderId="0" xfId="0" applyFont="1">
      <alignment vertical="center"/>
    </xf>
    <xf numFmtId="0" fontId="19" fillId="3" borderId="1" xfId="0" applyFont="1" applyFill="1" applyBorder="1">
      <alignment vertical="center"/>
    </xf>
    <xf numFmtId="0" fontId="19" fillId="3" borderId="1" xfId="0" applyFont="1" applyFill="1" applyBorder="1" applyAlignment="1">
      <alignment horizontal="left" vertical="center"/>
    </xf>
    <xf numFmtId="0" fontId="19" fillId="3" borderId="1" xfId="0" applyFont="1" applyFill="1" applyBorder="1" applyAlignment="1">
      <alignment vertical="center" wrapText="1"/>
    </xf>
    <xf numFmtId="0" fontId="21" fillId="0" borderId="0" xfId="0" applyFont="1" applyAlignment="1">
      <alignment horizontal="left" vertical="center"/>
    </xf>
    <xf numFmtId="0" fontId="21" fillId="0" borderId="0" xfId="0" applyFont="1">
      <alignment vertical="center"/>
    </xf>
    <xf numFmtId="0" fontId="21" fillId="4" borderId="1" xfId="0" applyFont="1" applyFill="1" applyBorder="1" applyAlignment="1">
      <alignment horizontal="left" vertical="center"/>
    </xf>
    <xf numFmtId="0" fontId="21" fillId="4" borderId="1" xfId="0" applyFont="1" applyFill="1" applyBorder="1">
      <alignment vertical="center"/>
    </xf>
    <xf numFmtId="0" fontId="19" fillId="3" borderId="1" xfId="0" applyFont="1" applyFill="1" applyBorder="1" applyAlignment="1">
      <alignment horizontal="left" vertical="center" wrapText="1"/>
    </xf>
    <xf numFmtId="41" fontId="21" fillId="0" borderId="1" xfId="2" applyFont="1" applyBorder="1" applyAlignment="1">
      <alignment horizontal="left" vertical="center"/>
    </xf>
    <xf numFmtId="0" fontId="6" fillId="4" borderId="1" xfId="0" applyFont="1" applyFill="1" applyBorder="1">
      <alignment vertical="center"/>
    </xf>
    <xf numFmtId="176" fontId="6" fillId="4" borderId="1" xfId="0" applyNumberFormat="1" applyFont="1" applyFill="1" applyBorder="1" applyAlignment="1">
      <alignment vertical="center" wrapText="1"/>
    </xf>
    <xf numFmtId="0" fontId="3" fillId="7" borderId="1" xfId="0" applyFont="1" applyFill="1" applyBorder="1">
      <alignment vertical="center"/>
    </xf>
    <xf numFmtId="0" fontId="4" fillId="7" borderId="1" xfId="0" applyFont="1" applyFill="1" applyBorder="1">
      <alignment vertical="center"/>
    </xf>
    <xf numFmtId="0" fontId="0" fillId="7" borderId="1" xfId="0" applyFill="1" applyBorder="1">
      <alignment vertical="center"/>
    </xf>
    <xf numFmtId="180" fontId="6" fillId="4" borderId="5" xfId="0" applyNumberFormat="1" applyFont="1" applyFill="1" applyBorder="1">
      <alignment vertical="center"/>
    </xf>
    <xf numFmtId="0" fontId="24" fillId="0" borderId="0" xfId="0" applyFont="1">
      <alignment vertical="center"/>
    </xf>
    <xf numFmtId="0" fontId="23" fillId="8" borderId="1" xfId="0" applyFont="1" applyFill="1" applyBorder="1">
      <alignment vertical="center"/>
    </xf>
    <xf numFmtId="0" fontId="26" fillId="0" borderId="0" xfId="0" applyFont="1">
      <alignment vertical="center"/>
    </xf>
    <xf numFmtId="0" fontId="23" fillId="9" borderId="1" xfId="0" applyFont="1" applyFill="1" applyBorder="1">
      <alignment vertical="center"/>
    </xf>
    <xf numFmtId="0" fontId="23" fillId="10" borderId="1" xfId="0" applyFont="1" applyFill="1" applyBorder="1">
      <alignment vertical="center"/>
    </xf>
    <xf numFmtId="0" fontId="6" fillId="0" borderId="0" xfId="0" applyFont="1">
      <alignment vertical="center"/>
    </xf>
    <xf numFmtId="0" fontId="27" fillId="0" borderId="3" xfId="0" applyFont="1" applyBorder="1">
      <alignment vertical="center"/>
    </xf>
    <xf numFmtId="0" fontId="27" fillId="0" borderId="1" xfId="0" applyFont="1" applyBorder="1">
      <alignment vertical="center"/>
    </xf>
    <xf numFmtId="41" fontId="6" fillId="11" borderId="5" xfId="2" applyFont="1" applyFill="1" applyBorder="1">
      <alignment vertical="center"/>
    </xf>
    <xf numFmtId="0" fontId="0" fillId="0" borderId="0" xfId="0" applyAlignment="1">
      <alignment vertical="center" wrapText="1"/>
    </xf>
    <xf numFmtId="0" fontId="0" fillId="0" borderId="0" xfId="0" quotePrefix="1" applyAlignment="1">
      <alignment horizontal="left" vertical="center" indent="1"/>
    </xf>
    <xf numFmtId="0" fontId="3" fillId="0" borderId="0" xfId="0" applyFont="1">
      <alignment vertical="center"/>
    </xf>
    <xf numFmtId="41" fontId="21" fillId="12" borderId="1" xfId="2" applyFont="1" applyFill="1" applyBorder="1">
      <alignment vertical="center"/>
    </xf>
    <xf numFmtId="0" fontId="8" fillId="0" borderId="0" xfId="0" applyFont="1" applyAlignment="1">
      <alignment vertical="top"/>
    </xf>
    <xf numFmtId="0" fontId="27" fillId="0" borderId="0" xfId="0" applyFont="1" applyAlignment="1">
      <alignment horizontal="left" vertical="top" wrapText="1"/>
    </xf>
    <xf numFmtId="0" fontId="8" fillId="0" borderId="0" xfId="0" applyFont="1" applyAlignment="1">
      <alignment vertical="top" wrapText="1"/>
    </xf>
    <xf numFmtId="0" fontId="33" fillId="0" borderId="0" xfId="0" applyFont="1">
      <alignment vertical="center"/>
    </xf>
    <xf numFmtId="0" fontId="29" fillId="0" borderId="0" xfId="0" applyFont="1">
      <alignment vertical="center"/>
    </xf>
    <xf numFmtId="0" fontId="29" fillId="0" borderId="2" xfId="0" applyFont="1" applyBorder="1">
      <alignment vertical="center"/>
    </xf>
    <xf numFmtId="0" fontId="23" fillId="0" borderId="0" xfId="0" applyFont="1">
      <alignment vertical="center"/>
    </xf>
    <xf numFmtId="0" fontId="8" fillId="4" borderId="1" xfId="0" applyFont="1" applyFill="1" applyBorder="1">
      <alignment vertical="center"/>
    </xf>
    <xf numFmtId="0" fontId="8" fillId="7" borderId="1" xfId="0" applyFont="1" applyFill="1" applyBorder="1">
      <alignment vertical="center"/>
    </xf>
    <xf numFmtId="0" fontId="8" fillId="12" borderId="1" xfId="0" applyFont="1" applyFill="1" applyBorder="1">
      <alignment vertical="center"/>
    </xf>
    <xf numFmtId="0" fontId="6" fillId="12" borderId="1" xfId="0" applyFont="1" applyFill="1" applyBorder="1" applyAlignment="1">
      <alignment horizontal="left" vertical="center"/>
    </xf>
    <xf numFmtId="181" fontId="6" fillId="12" borderId="1" xfId="1" applyNumberFormat="1" applyFont="1" applyFill="1" applyBorder="1" applyAlignment="1">
      <alignment horizontal="center" vertical="center"/>
    </xf>
    <xf numFmtId="0" fontId="21" fillId="12" borderId="1" xfId="0" applyFont="1" applyFill="1" applyBorder="1" applyAlignment="1">
      <alignment horizontal="left" vertical="center"/>
    </xf>
    <xf numFmtId="0" fontId="0" fillId="12" borderId="1" xfId="0" applyFill="1" applyBorder="1">
      <alignment vertical="center"/>
    </xf>
    <xf numFmtId="0" fontId="4" fillId="7" borderId="1" xfId="0" applyFont="1" applyFill="1" applyBorder="1" applyAlignment="1">
      <alignment horizontal="center" vertical="center"/>
    </xf>
    <xf numFmtId="181" fontId="3" fillId="7" borderId="1" xfId="1" applyNumberFormat="1" applyFont="1" applyFill="1" applyBorder="1" applyAlignment="1">
      <alignment horizontal="center" vertical="center"/>
    </xf>
    <xf numFmtId="181" fontId="0" fillId="12" borderId="1" xfId="1" applyNumberFormat="1" applyFont="1" applyFill="1" applyBorder="1" applyAlignment="1">
      <alignment horizontal="center" vertical="center"/>
    </xf>
    <xf numFmtId="0" fontId="0" fillId="6" borderId="1" xfId="0" applyFill="1" applyBorder="1">
      <alignment vertical="center"/>
    </xf>
    <xf numFmtId="0" fontId="4" fillId="2" borderId="8" xfId="0" applyFont="1" applyFill="1" applyBorder="1" applyAlignment="1">
      <alignment horizontal="left" vertical="center"/>
    </xf>
    <xf numFmtId="0" fontId="0" fillId="0" borderId="13" xfId="0" applyBorder="1">
      <alignment vertical="center"/>
    </xf>
    <xf numFmtId="0" fontId="0" fillId="0" borderId="6" xfId="0" applyBorder="1">
      <alignment vertical="center"/>
    </xf>
    <xf numFmtId="0" fontId="0" fillId="0" borderId="7" xfId="0" applyBorder="1">
      <alignment vertical="center"/>
    </xf>
    <xf numFmtId="0" fontId="3" fillId="5" borderId="1" xfId="0" applyFont="1" applyFill="1" applyBorder="1">
      <alignment vertical="center"/>
    </xf>
    <xf numFmtId="0" fontId="3" fillId="0" borderId="2" xfId="0" applyFont="1" applyBorder="1">
      <alignment vertical="center"/>
    </xf>
    <xf numFmtId="0" fontId="3" fillId="5" borderId="2" xfId="0" applyFont="1" applyFill="1" applyBorder="1">
      <alignment vertical="center"/>
    </xf>
    <xf numFmtId="0" fontId="6" fillId="12" borderId="5" xfId="0" applyFont="1" applyFill="1" applyBorder="1">
      <alignment vertical="center"/>
    </xf>
    <xf numFmtId="0" fontId="6" fillId="5" borderId="5" xfId="0" applyFont="1" applyFill="1" applyBorder="1">
      <alignment vertical="center"/>
    </xf>
    <xf numFmtId="178" fontId="6" fillId="12" borderId="5" xfId="0" applyNumberFormat="1" applyFont="1" applyFill="1" applyBorder="1">
      <alignment vertical="center"/>
    </xf>
    <xf numFmtId="10" fontId="6" fillId="12" borderId="5" xfId="1" applyNumberFormat="1" applyFont="1" applyFill="1" applyBorder="1">
      <alignment vertical="center"/>
    </xf>
    <xf numFmtId="182" fontId="6" fillId="12" borderId="5" xfId="2" applyNumberFormat="1" applyFont="1" applyFill="1" applyBorder="1">
      <alignment vertical="center"/>
    </xf>
    <xf numFmtId="41" fontId="6" fillId="5" borderId="5" xfId="2" applyFont="1" applyFill="1" applyBorder="1">
      <alignment vertical="center"/>
    </xf>
    <xf numFmtId="182" fontId="6" fillId="6" borderId="5" xfId="2" applyNumberFormat="1" applyFont="1" applyFill="1" applyBorder="1">
      <alignment vertical="center"/>
    </xf>
    <xf numFmtId="177" fontId="6" fillId="12" borderId="5" xfId="2" applyNumberFormat="1" applyFont="1" applyFill="1" applyBorder="1">
      <alignment vertical="center"/>
    </xf>
    <xf numFmtId="0" fontId="4" fillId="2" borderId="0" xfId="0" applyFont="1" applyFill="1" applyAlignment="1">
      <alignment vertical="center" wrapText="1"/>
    </xf>
    <xf numFmtId="0" fontId="34" fillId="0" borderId="0" xfId="0" applyFont="1">
      <alignment vertical="center"/>
    </xf>
    <xf numFmtId="0" fontId="8" fillId="13" borderId="1" xfId="0" applyFont="1" applyFill="1" applyBorder="1">
      <alignment vertical="center"/>
    </xf>
    <xf numFmtId="0" fontId="4" fillId="2" borderId="1" xfId="0" applyFont="1" applyFill="1" applyBorder="1" applyAlignment="1">
      <alignment vertical="center" wrapText="1"/>
    </xf>
    <xf numFmtId="177" fontId="0" fillId="4" borderId="1" xfId="2" applyNumberFormat="1" applyFont="1" applyFill="1" applyBorder="1">
      <alignment vertical="center"/>
    </xf>
    <xf numFmtId="176" fontId="8" fillId="7" borderId="1" xfId="2" applyNumberFormat="1" applyFont="1" applyFill="1" applyBorder="1" applyAlignment="1">
      <alignment horizontal="center" vertical="center"/>
    </xf>
    <xf numFmtId="0" fontId="14" fillId="3" borderId="2" xfId="0" applyFont="1" applyFill="1" applyBorder="1">
      <alignment vertical="center"/>
    </xf>
    <xf numFmtId="0" fontId="14" fillId="3" borderId="8" xfId="0" applyFont="1" applyFill="1" applyBorder="1" applyAlignment="1">
      <alignment horizontal="center" vertical="center"/>
    </xf>
    <xf numFmtId="0" fontId="14" fillId="3" borderId="3" xfId="0" applyFont="1" applyFill="1" applyBorder="1">
      <alignment vertical="center"/>
    </xf>
    <xf numFmtId="0" fontId="14" fillId="3" borderId="1" xfId="0" applyFont="1" applyFill="1" applyBorder="1" applyAlignment="1">
      <alignment horizontal="center" vertical="center"/>
    </xf>
    <xf numFmtId="0" fontId="8" fillId="5" borderId="1" xfId="0" applyFont="1" applyFill="1" applyBorder="1">
      <alignment vertical="center"/>
    </xf>
    <xf numFmtId="0" fontId="14" fillId="3" borderId="2" xfId="0" applyFont="1" applyFill="1" applyBorder="1" applyAlignment="1">
      <alignment horizontal="center" vertical="center"/>
    </xf>
    <xf numFmtId="0" fontId="35" fillId="3" borderId="2" xfId="0" applyFont="1" applyFill="1" applyBorder="1" applyAlignment="1">
      <alignment horizontal="center" vertical="center"/>
    </xf>
    <xf numFmtId="0" fontId="36" fillId="5" borderId="1" xfId="0" applyFont="1" applyFill="1" applyBorder="1">
      <alignment vertical="center"/>
    </xf>
    <xf numFmtId="0" fontId="10" fillId="5" borderId="1" xfId="0" applyFont="1" applyFill="1" applyBorder="1">
      <alignment vertical="center"/>
    </xf>
    <xf numFmtId="0" fontId="36" fillId="5" borderId="1" xfId="0" applyFont="1" applyFill="1" applyBorder="1" applyAlignment="1">
      <alignment vertical="center" wrapText="1"/>
    </xf>
    <xf numFmtId="176" fontId="10" fillId="7" borderId="1" xfId="2" applyNumberFormat="1" applyFont="1" applyFill="1" applyBorder="1" applyAlignment="1">
      <alignment horizontal="center" vertical="center"/>
    </xf>
    <xf numFmtId="0" fontId="6" fillId="12" borderId="8" xfId="0" applyFont="1" applyFill="1" applyBorder="1">
      <alignment vertical="center"/>
    </xf>
    <xf numFmtId="0" fontId="14" fillId="3" borderId="13" xfId="0" applyFont="1" applyFill="1" applyBorder="1">
      <alignment vertical="center"/>
    </xf>
    <xf numFmtId="0" fontId="14" fillId="3" borderId="14" xfId="0" applyFont="1" applyFill="1" applyBorder="1">
      <alignment vertical="center"/>
    </xf>
    <xf numFmtId="0" fontId="14" fillId="3" borderId="7" xfId="0" applyFont="1" applyFill="1" applyBorder="1">
      <alignment vertical="center"/>
    </xf>
    <xf numFmtId="0" fontId="14" fillId="3" borderId="15" xfId="0" applyFont="1" applyFill="1" applyBorder="1">
      <alignment vertical="center"/>
    </xf>
    <xf numFmtId="0" fontId="36" fillId="5" borderId="8" xfId="0" applyFont="1" applyFill="1" applyBorder="1">
      <alignment vertical="center"/>
    </xf>
    <xf numFmtId="0" fontId="36" fillId="5" borderId="9" xfId="0" applyFont="1" applyFill="1" applyBorder="1">
      <alignment vertical="center"/>
    </xf>
    <xf numFmtId="0" fontId="36" fillId="5" borderId="8" xfId="0" applyFont="1" applyFill="1" applyBorder="1" applyAlignment="1">
      <alignment vertical="center" wrapText="1"/>
    </xf>
    <xf numFmtId="0" fontId="36" fillId="5" borderId="9" xfId="0" applyFont="1" applyFill="1" applyBorder="1" applyAlignment="1">
      <alignment vertical="center" wrapText="1"/>
    </xf>
    <xf numFmtId="0" fontId="14" fillId="3" borderId="6" xfId="0" applyFont="1" applyFill="1" applyBorder="1">
      <alignment vertical="center"/>
    </xf>
    <xf numFmtId="0" fontId="14" fillId="3" borderId="16" xfId="0" applyFont="1" applyFill="1" applyBorder="1">
      <alignment vertical="center"/>
    </xf>
    <xf numFmtId="0" fontId="29" fillId="5" borderId="8" xfId="0" applyFont="1" applyFill="1" applyBorder="1">
      <alignment vertical="center"/>
    </xf>
    <xf numFmtId="0" fontId="29" fillId="5" borderId="9" xfId="0" applyFont="1" applyFill="1" applyBorder="1">
      <alignment vertical="center"/>
    </xf>
    <xf numFmtId="0" fontId="36" fillId="5" borderId="2" xfId="0" applyFont="1" applyFill="1" applyBorder="1" applyAlignment="1">
      <alignment vertical="center" wrapText="1"/>
    </xf>
    <xf numFmtId="0" fontId="36" fillId="5" borderId="3" xfId="0" applyFont="1" applyFill="1" applyBorder="1" applyAlignment="1">
      <alignment vertical="center" wrapText="1"/>
    </xf>
    <xf numFmtId="0" fontId="36" fillId="5" borderId="4" xfId="0" applyFont="1" applyFill="1" applyBorder="1" applyAlignment="1">
      <alignment vertical="center" wrapText="1"/>
    </xf>
    <xf numFmtId="0" fontId="0" fillId="0" borderId="0" xfId="0" applyAlignment="1">
      <alignment horizontal="right" vertical="center"/>
    </xf>
    <xf numFmtId="0" fontId="38" fillId="0" borderId="0" xfId="0" applyFont="1">
      <alignment vertical="center"/>
    </xf>
    <xf numFmtId="185" fontId="22" fillId="7" borderId="1" xfId="0" applyNumberFormat="1" applyFont="1" applyFill="1" applyBorder="1">
      <alignment vertical="center"/>
    </xf>
    <xf numFmtId="185" fontId="0" fillId="12" borderId="1" xfId="0" applyNumberFormat="1" applyFill="1" applyBorder="1">
      <alignment vertical="center"/>
    </xf>
    <xf numFmtId="185" fontId="3" fillId="7" borderId="1" xfId="0" applyNumberFormat="1" applyFont="1" applyFill="1" applyBorder="1">
      <alignment vertical="center"/>
    </xf>
    <xf numFmtId="185" fontId="0" fillId="7" borderId="1" xfId="0" applyNumberFormat="1" applyFill="1" applyBorder="1">
      <alignment vertical="center"/>
    </xf>
    <xf numFmtId="184" fontId="6" fillId="5" borderId="5" xfId="2" applyNumberFormat="1" applyFont="1" applyFill="1" applyBorder="1" applyAlignment="1">
      <alignment horizontal="center" vertical="center"/>
    </xf>
    <xf numFmtId="184" fontId="6" fillId="11" borderId="5" xfId="2" applyNumberFormat="1" applyFont="1" applyFill="1" applyBorder="1" applyAlignment="1">
      <alignment horizontal="center" vertical="center"/>
    </xf>
    <xf numFmtId="0" fontId="39" fillId="12" borderId="8" xfId="0" applyFont="1" applyFill="1" applyBorder="1">
      <alignment vertical="center"/>
    </xf>
    <xf numFmtId="0" fontId="4" fillId="3" borderId="2" xfId="0" applyFont="1" applyFill="1" applyBorder="1" applyAlignment="1">
      <alignment vertical="center" wrapText="1"/>
    </xf>
    <xf numFmtId="0" fontId="40" fillId="0" borderId="0" xfId="0" applyFont="1">
      <alignment vertical="center"/>
    </xf>
    <xf numFmtId="0" fontId="4" fillId="2" borderId="13" xfId="0" applyFont="1" applyFill="1" applyBorder="1" applyAlignment="1">
      <alignment horizontal="left" vertical="center"/>
    </xf>
    <xf numFmtId="179" fontId="6" fillId="12" borderId="5" xfId="0" applyNumberFormat="1" applyFont="1" applyFill="1" applyBorder="1">
      <alignment vertical="center"/>
    </xf>
    <xf numFmtId="0" fontId="43" fillId="0" borderId="0" xfId="0" applyFont="1">
      <alignment vertical="center"/>
    </xf>
    <xf numFmtId="185" fontId="22" fillId="6" borderId="1" xfId="0" applyNumberFormat="1" applyFont="1" applyFill="1" applyBorder="1">
      <alignment vertical="center"/>
    </xf>
    <xf numFmtId="0" fontId="4" fillId="6" borderId="1" xfId="0" applyFont="1" applyFill="1" applyBorder="1">
      <alignment vertical="center"/>
    </xf>
    <xf numFmtId="185" fontId="3" fillId="6" borderId="1" xfId="0" applyNumberFormat="1" applyFont="1" applyFill="1" applyBorder="1">
      <alignment vertical="center"/>
    </xf>
    <xf numFmtId="0" fontId="3" fillId="6" borderId="1" xfId="0" applyFont="1" applyFill="1" applyBorder="1">
      <alignment vertical="center"/>
    </xf>
    <xf numFmtId="180" fontId="6" fillId="12" borderId="5" xfId="0" applyNumberFormat="1" applyFont="1" applyFill="1" applyBorder="1" applyAlignment="1">
      <alignment vertical="center" wrapText="1"/>
    </xf>
    <xf numFmtId="0" fontId="0" fillId="0" borderId="0" xfId="0" applyAlignment="1">
      <alignment horizontal="center" vertical="center"/>
    </xf>
    <xf numFmtId="177" fontId="0" fillId="12" borderId="1" xfId="2" applyNumberFormat="1" applyFont="1" applyFill="1" applyBorder="1" applyAlignment="1">
      <alignment horizontal="center" vertical="center"/>
    </xf>
    <xf numFmtId="183" fontId="0" fillId="12" borderId="1" xfId="2" applyNumberFormat="1" applyFont="1" applyFill="1" applyBorder="1" applyAlignment="1">
      <alignment horizontal="center" vertical="center"/>
    </xf>
    <xf numFmtId="176" fontId="0" fillId="12" borderId="1" xfId="2" applyNumberFormat="1" applyFont="1" applyFill="1" applyBorder="1" applyAlignment="1">
      <alignment horizontal="center" vertical="center"/>
    </xf>
    <xf numFmtId="0" fontId="0" fillId="5" borderId="1" xfId="0" applyFill="1" applyBorder="1">
      <alignment vertical="center"/>
    </xf>
    <xf numFmtId="185" fontId="22" fillId="7" borderId="1" xfId="0" applyNumberFormat="1" applyFont="1" applyFill="1" applyBorder="1" applyAlignment="1">
      <alignment horizontal="right" vertical="center"/>
    </xf>
    <xf numFmtId="185" fontId="0" fillId="12" borderId="1" xfId="1" applyNumberFormat="1" applyFont="1" applyFill="1" applyBorder="1" applyAlignment="1">
      <alignment horizontal="right" vertical="center"/>
    </xf>
    <xf numFmtId="185" fontId="3" fillId="7" borderId="1" xfId="0" applyNumberFormat="1" applyFont="1" applyFill="1" applyBorder="1" applyAlignment="1">
      <alignment horizontal="right" vertical="center"/>
    </xf>
    <xf numFmtId="181" fontId="6" fillId="12" borderId="1" xfId="1" applyNumberFormat="1" applyFont="1" applyFill="1" applyBorder="1" applyAlignment="1">
      <alignment horizontal="center" vertical="center" wrapText="1"/>
    </xf>
    <xf numFmtId="0" fontId="45" fillId="0" borderId="0" xfId="0" applyFont="1">
      <alignment vertical="center"/>
    </xf>
    <xf numFmtId="0" fontId="49" fillId="0" borderId="0" xfId="7" applyFont="1">
      <alignment vertical="center"/>
    </xf>
    <xf numFmtId="0" fontId="50" fillId="0" borderId="0" xfId="7" applyFont="1">
      <alignment vertical="center"/>
    </xf>
    <xf numFmtId="0" fontId="49" fillId="0" borderId="1" xfId="7" applyFont="1" applyBorder="1">
      <alignment vertical="center"/>
    </xf>
    <xf numFmtId="0" fontId="49" fillId="0" borderId="1" xfId="7" applyFont="1" applyBorder="1" applyAlignment="1">
      <alignment horizontal="center" vertical="center" shrinkToFit="1"/>
    </xf>
    <xf numFmtId="0" fontId="49" fillId="15" borderId="1" xfId="7" applyFont="1" applyFill="1" applyBorder="1" applyAlignment="1">
      <alignment horizontal="center" vertical="center" shrinkToFit="1"/>
    </xf>
    <xf numFmtId="0" fontId="49" fillId="0" borderId="0" xfId="7" applyFont="1" applyAlignment="1">
      <alignment horizontal="center" vertical="center" shrinkToFit="1"/>
    </xf>
    <xf numFmtId="176" fontId="49" fillId="0" borderId="0" xfId="7" applyNumberFormat="1" applyFont="1">
      <alignment vertical="center"/>
    </xf>
    <xf numFmtId="186" fontId="8" fillId="0" borderId="0" xfId="0" applyNumberFormat="1" applyFont="1" applyAlignment="1">
      <alignment vertical="top"/>
    </xf>
    <xf numFmtId="0" fontId="8" fillId="0" borderId="17" xfId="0" applyFont="1" applyBorder="1" applyAlignment="1">
      <alignment horizontal="center" vertical="center"/>
    </xf>
    <xf numFmtId="186" fontId="8" fillId="0" borderId="17" xfId="0" applyNumberFormat="1" applyFont="1" applyBorder="1" applyAlignment="1">
      <alignment horizontal="center" vertical="center"/>
    </xf>
    <xf numFmtId="0" fontId="8" fillId="0" borderId="1" xfId="0" applyFont="1" applyBorder="1" applyAlignment="1">
      <alignment horizontal="center" vertical="center"/>
    </xf>
    <xf numFmtId="186" fontId="8" fillId="0" borderId="1" xfId="0" applyNumberFormat="1" applyFont="1" applyBorder="1" applyAlignment="1">
      <alignment horizontal="center" vertical="center"/>
    </xf>
    <xf numFmtId="0" fontId="55" fillId="0" borderId="18" xfId="0" applyFont="1" applyBorder="1" applyAlignment="1">
      <alignment horizontal="center" vertical="center"/>
    </xf>
    <xf numFmtId="0" fontId="56" fillId="0" borderId="19" xfId="0" applyFont="1" applyBorder="1" applyAlignment="1">
      <alignment horizontal="center" vertical="center"/>
    </xf>
    <xf numFmtId="0" fontId="55" fillId="0" borderId="19" xfId="0" applyFont="1" applyBorder="1" applyAlignment="1">
      <alignment horizontal="center" vertical="center" wrapText="1"/>
    </xf>
    <xf numFmtId="0" fontId="55" fillId="0" borderId="19" xfId="0" applyFont="1" applyBorder="1" applyAlignment="1">
      <alignment horizontal="center" vertical="center"/>
    </xf>
    <xf numFmtId="0" fontId="56" fillId="0" borderId="20" xfId="0" applyFont="1" applyBorder="1" applyAlignment="1">
      <alignment horizontal="center" vertical="center"/>
    </xf>
    <xf numFmtId="0" fontId="54" fillId="0" borderId="21" xfId="0" applyFont="1" applyBorder="1" applyAlignment="1">
      <alignment horizontal="center" vertical="center"/>
    </xf>
    <xf numFmtId="0" fontId="54" fillId="0" borderId="10" xfId="0" applyFont="1" applyBorder="1" applyAlignment="1">
      <alignment horizontal="center" vertical="center"/>
    </xf>
    <xf numFmtId="0" fontId="8" fillId="0" borderId="23" xfId="0" applyFont="1" applyBorder="1" applyAlignment="1">
      <alignment horizontal="center" vertical="center"/>
    </xf>
    <xf numFmtId="0" fontId="30" fillId="0" borderId="10" xfId="0" applyFont="1" applyBorder="1" applyAlignment="1">
      <alignment horizontal="center" vertical="center"/>
    </xf>
    <xf numFmtId="0" fontId="54" fillId="0" borderId="11" xfId="0" applyFont="1" applyBorder="1" applyAlignment="1">
      <alignment horizontal="center" vertical="center"/>
    </xf>
    <xf numFmtId="3" fontId="8" fillId="0" borderId="12" xfId="0" applyNumberFormat="1" applyFont="1" applyBorder="1" applyAlignment="1">
      <alignment horizontal="center" vertical="center"/>
    </xf>
    <xf numFmtId="0" fontId="8" fillId="0" borderId="12" xfId="0" applyFont="1" applyBorder="1" applyAlignment="1">
      <alignment horizontal="center" vertical="center"/>
    </xf>
    <xf numFmtId="186" fontId="8" fillId="0" borderId="12" xfId="0" applyNumberFormat="1" applyFont="1" applyBorder="1" applyAlignment="1">
      <alignment horizontal="center" vertical="center"/>
    </xf>
    <xf numFmtId="0" fontId="29" fillId="0" borderId="0" xfId="0" applyFont="1" applyAlignment="1">
      <alignment vertical="top"/>
    </xf>
    <xf numFmtId="0" fontId="40" fillId="0" borderId="0" xfId="0" applyFont="1" applyAlignment="1">
      <alignment vertical="top"/>
    </xf>
    <xf numFmtId="0" fontId="31" fillId="0" borderId="0" xfId="0" applyFont="1" applyAlignment="1">
      <alignment vertical="top"/>
    </xf>
    <xf numFmtId="0" fontId="30" fillId="0" borderId="0" xfId="0" applyFont="1" applyAlignment="1">
      <alignment vertical="top"/>
    </xf>
    <xf numFmtId="0" fontId="59" fillId="0" borderId="1" xfId="0" applyFont="1" applyBorder="1" applyAlignment="1">
      <alignment horizontal="center" vertical="center"/>
    </xf>
    <xf numFmtId="0" fontId="55" fillId="0" borderId="24" xfId="0" applyFont="1" applyBorder="1" applyAlignment="1">
      <alignment horizontal="center" vertical="center"/>
    </xf>
    <xf numFmtId="186" fontId="8" fillId="0" borderId="25" xfId="0" applyNumberFormat="1" applyFont="1" applyBorder="1" applyAlignment="1">
      <alignment horizontal="center" vertical="center"/>
    </xf>
    <xf numFmtId="186" fontId="8" fillId="0" borderId="8" xfId="0" applyNumberFormat="1" applyFont="1" applyBorder="1" applyAlignment="1">
      <alignment horizontal="center" vertical="center"/>
    </xf>
    <xf numFmtId="0" fontId="60" fillId="0" borderId="22" xfId="0" applyFont="1" applyBorder="1" applyAlignment="1">
      <alignment horizontal="center" vertical="center"/>
    </xf>
    <xf numFmtId="0" fontId="60" fillId="0" borderId="23" xfId="0" applyFont="1" applyBorder="1" applyAlignment="1">
      <alignment horizontal="center" vertical="center"/>
    </xf>
    <xf numFmtId="0" fontId="23" fillId="0" borderId="23" xfId="0" applyFont="1" applyBorder="1" applyAlignment="1">
      <alignment horizontal="center" vertical="center"/>
    </xf>
    <xf numFmtId="0" fontId="61" fillId="0" borderId="23" xfId="0" applyFont="1" applyBorder="1" applyAlignment="1">
      <alignment horizontal="center" vertical="center"/>
    </xf>
    <xf numFmtId="186" fontId="8" fillId="0" borderId="26" xfId="0" applyNumberFormat="1" applyFont="1" applyBorder="1" applyAlignment="1">
      <alignment horizontal="center" vertical="center"/>
    </xf>
    <xf numFmtId="0" fontId="60" fillId="0" borderId="27" xfId="0" applyFont="1" applyBorder="1" applyAlignment="1">
      <alignment horizontal="center" vertical="center"/>
    </xf>
    <xf numFmtId="0" fontId="54" fillId="0" borderId="0" xfId="0"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center" vertical="center"/>
    </xf>
    <xf numFmtId="186" fontId="8" fillId="0" borderId="0" xfId="0" applyNumberFormat="1" applyFont="1" applyAlignment="1">
      <alignment horizontal="center" vertical="center"/>
    </xf>
    <xf numFmtId="0" fontId="60" fillId="0" borderId="0" xfId="0" applyFont="1" applyAlignment="1">
      <alignment horizontal="center" vertical="center"/>
    </xf>
    <xf numFmtId="0" fontId="63" fillId="0" borderId="0" xfId="0" applyFont="1" applyAlignment="1">
      <alignment vertical="top"/>
    </xf>
    <xf numFmtId="0" fontId="32" fillId="0" borderId="0" xfId="0" applyFont="1" applyAlignment="1">
      <alignment vertical="top"/>
    </xf>
    <xf numFmtId="0" fontId="28" fillId="0" borderId="0" xfId="13" applyAlignment="1">
      <alignment vertical="top"/>
    </xf>
    <xf numFmtId="0" fontId="49" fillId="0" borderId="1" xfId="7" applyFont="1" applyBorder="1" applyAlignment="1">
      <alignment horizontal="center" vertical="center"/>
    </xf>
    <xf numFmtId="178" fontId="49" fillId="0" borderId="1" xfId="7" applyNumberFormat="1" applyFont="1" applyBorder="1" applyAlignment="1">
      <alignment horizontal="center" vertical="center" shrinkToFit="1"/>
    </xf>
    <xf numFmtId="178" fontId="49" fillId="15" borderId="1" xfId="7" applyNumberFormat="1" applyFont="1" applyFill="1" applyBorder="1" applyAlignment="1">
      <alignment horizontal="center" vertical="center" shrinkToFit="1"/>
    </xf>
    <xf numFmtId="176" fontId="49" fillId="0" borderId="1" xfId="7" applyNumberFormat="1" applyFont="1" applyBorder="1" applyAlignment="1">
      <alignment horizontal="center" vertical="center" shrinkToFit="1"/>
    </xf>
    <xf numFmtId="176" fontId="49" fillId="15" borderId="1" xfId="7" applyNumberFormat="1" applyFont="1" applyFill="1" applyBorder="1" applyAlignment="1">
      <alignment horizontal="center" vertical="center" shrinkToFit="1"/>
    </xf>
    <xf numFmtId="41" fontId="49" fillId="0" borderId="1" xfId="7" applyNumberFormat="1" applyFont="1" applyBorder="1" applyAlignment="1">
      <alignment horizontal="center" vertical="center" shrinkToFit="1"/>
    </xf>
    <xf numFmtId="0" fontId="8" fillId="7" borderId="1" xfId="0" applyFont="1" applyFill="1" applyBorder="1" applyAlignment="1">
      <alignment horizontal="center" vertical="center"/>
    </xf>
    <xf numFmtId="3" fontId="8" fillId="7" borderId="12" xfId="0" applyNumberFormat="1" applyFont="1" applyFill="1" applyBorder="1" applyAlignment="1">
      <alignment horizontal="center" vertical="center"/>
    </xf>
    <xf numFmtId="0" fontId="8"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60" fillId="7" borderId="1" xfId="0" applyFont="1" applyFill="1" applyBorder="1" applyAlignment="1">
      <alignment horizontal="center" vertical="center"/>
    </xf>
    <xf numFmtId="0" fontId="8" fillId="7" borderId="17" xfId="0" applyFont="1" applyFill="1" applyBorder="1" applyAlignment="1">
      <alignment horizontal="center" vertical="center"/>
    </xf>
    <xf numFmtId="186" fontId="8" fillId="7" borderId="1" xfId="0" applyNumberFormat="1" applyFont="1" applyFill="1" applyBorder="1" applyAlignment="1">
      <alignment horizontal="center" vertical="center"/>
    </xf>
    <xf numFmtId="186" fontId="8" fillId="7" borderId="12" xfId="0" applyNumberFormat="1" applyFont="1" applyFill="1" applyBorder="1" applyAlignment="1">
      <alignment horizontal="center" vertical="center"/>
    </xf>
    <xf numFmtId="0" fontId="49" fillId="0" borderId="1" xfId="7" applyFont="1" applyBorder="1" applyAlignment="1">
      <alignment horizontal="center" vertical="center"/>
    </xf>
    <xf numFmtId="0" fontId="47" fillId="14" borderId="0" xfId="7" applyFont="1" applyFill="1" applyAlignment="1">
      <alignment horizontal="center" vertical="center"/>
    </xf>
    <xf numFmtId="0" fontId="27" fillId="0" borderId="0" xfId="0" applyFont="1" applyAlignment="1">
      <alignment horizontal="left" vertical="top" wrapText="1"/>
    </xf>
    <xf numFmtId="0" fontId="7" fillId="0" borderId="0" xfId="0" applyFont="1" applyAlignment="1">
      <alignment horizontal="left" vertical="center" wrapText="1"/>
    </xf>
    <xf numFmtId="0" fontId="29" fillId="13" borderId="8" xfId="0" applyFont="1" applyFill="1" applyBorder="1" applyAlignment="1">
      <alignment horizontal="left" vertical="center"/>
    </xf>
    <xf numFmtId="0" fontId="29" fillId="13" borderId="9" xfId="0" applyFont="1" applyFill="1" applyBorder="1" applyAlignment="1">
      <alignment horizontal="left" vertical="center"/>
    </xf>
    <xf numFmtId="0" fontId="8" fillId="0" borderId="8"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5" xfId="0" applyFont="1" applyBorder="1" applyAlignment="1">
      <alignment horizontal="left" vertical="center"/>
    </xf>
    <xf numFmtId="0" fontId="8" fillId="0" borderId="9" xfId="0" applyFont="1" applyBorder="1" applyAlignment="1">
      <alignment horizontal="left"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0" fillId="7" borderId="8" xfId="2" applyNumberFormat="1" applyFont="1" applyFill="1" applyBorder="1" applyAlignment="1">
      <alignment horizontal="center" vertical="center"/>
    </xf>
    <xf numFmtId="0" fontId="10" fillId="7" borderId="9" xfId="2" applyNumberFormat="1" applyFont="1" applyFill="1" applyBorder="1" applyAlignment="1">
      <alignment horizontal="center" vertical="center"/>
    </xf>
    <xf numFmtId="0" fontId="10" fillId="5" borderId="8" xfId="2" applyNumberFormat="1" applyFont="1" applyFill="1" applyBorder="1" applyAlignment="1">
      <alignment horizontal="center" vertical="center"/>
    </xf>
    <xf numFmtId="0" fontId="10" fillId="5" borderId="9" xfId="2" applyNumberFormat="1" applyFont="1" applyFill="1" applyBorder="1" applyAlignment="1">
      <alignment horizontal="center" vertical="center"/>
    </xf>
    <xf numFmtId="0" fontId="0" fillId="12" borderId="8" xfId="0" applyFill="1" applyBorder="1" applyAlignment="1">
      <alignment horizontal="left" vertical="center"/>
    </xf>
    <xf numFmtId="0" fontId="0" fillId="12" borderId="9" xfId="0" applyFill="1" applyBorder="1" applyAlignment="1">
      <alignment horizontal="left" vertical="center"/>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4" fillId="6" borderId="8" xfId="0" applyFont="1" applyFill="1" applyBorder="1" applyAlignment="1">
      <alignment horizontal="left" vertical="center"/>
    </xf>
    <xf numFmtId="0" fontId="4" fillId="6" borderId="9" xfId="0" applyFont="1" applyFill="1" applyBorder="1" applyAlignment="1">
      <alignment horizontal="left" vertical="center"/>
    </xf>
    <xf numFmtId="180" fontId="6" fillId="12" borderId="5" xfId="0" applyNumberFormat="1" applyFont="1" applyFill="1" applyBorder="1" applyAlignment="1">
      <alignment horizontal="left" vertical="center" wrapText="1"/>
    </xf>
    <xf numFmtId="0" fontId="14" fillId="3" borderId="5" xfId="0" applyFont="1" applyFill="1" applyBorder="1" applyAlignment="1">
      <alignment horizontal="left" vertical="center" wrapText="1"/>
    </xf>
    <xf numFmtId="0" fontId="14" fillId="3" borderId="5" xfId="0" applyFont="1" applyFill="1" applyBorder="1" applyAlignment="1">
      <alignment horizontal="left" vertical="center"/>
    </xf>
    <xf numFmtId="0" fontId="65" fillId="0" borderId="28" xfId="0" applyFont="1" applyBorder="1">
      <alignment vertical="center"/>
    </xf>
    <xf numFmtId="0" fontId="6" fillId="0" borderId="0" xfId="0" applyFont="1" applyAlignment="1">
      <alignment vertical="top"/>
    </xf>
    <xf numFmtId="0" fontId="3" fillId="0" borderId="28" xfId="0" applyFont="1" applyBorder="1">
      <alignment vertical="center"/>
    </xf>
    <xf numFmtId="0" fontId="66" fillId="0" borderId="0" xfId="0" applyFont="1" applyAlignment="1">
      <alignment horizontal="left" vertical="center" wrapText="1" indent="1"/>
    </xf>
    <xf numFmtId="0" fontId="6" fillId="0" borderId="0" xfId="0" applyFont="1" applyAlignment="1">
      <alignment horizontal="left" vertical="center" wrapText="1" indent="1"/>
    </xf>
    <xf numFmtId="0" fontId="66" fillId="0" borderId="0" xfId="0" applyFont="1" applyAlignment="1">
      <alignment horizontal="left" vertical="top" wrapText="1"/>
    </xf>
    <xf numFmtId="0" fontId="6" fillId="0" borderId="0" xfId="0" applyFont="1" applyAlignment="1">
      <alignment horizontal="left" vertical="top" wrapText="1"/>
    </xf>
    <xf numFmtId="0" fontId="3" fillId="0" borderId="28" xfId="0" applyFont="1" applyBorder="1" applyAlignment="1">
      <alignment vertical="top"/>
    </xf>
    <xf numFmtId="0" fontId="66" fillId="0" borderId="0" xfId="0" applyFont="1" applyAlignment="1">
      <alignment horizontal="left" vertical="top" wrapText="1" indent="1"/>
    </xf>
    <xf numFmtId="0" fontId="67" fillId="0" borderId="0" xfId="0" applyFont="1" applyAlignment="1">
      <alignment horizontal="left" vertical="top" wrapText="1" indent="1"/>
    </xf>
    <xf numFmtId="0" fontId="66" fillId="0" borderId="0" xfId="0" applyFont="1" applyAlignment="1">
      <alignment vertical="top" wrapText="1"/>
    </xf>
    <xf numFmtId="0" fontId="66" fillId="0" borderId="0" xfId="0" applyFont="1" applyAlignment="1">
      <alignment horizontal="left" vertical="top" wrapText="1"/>
    </xf>
    <xf numFmtId="0" fontId="68" fillId="0" borderId="29" xfId="0" applyFont="1" applyBorder="1" applyAlignment="1">
      <alignment horizontal="left" indent="1"/>
    </xf>
    <xf numFmtId="0" fontId="66" fillId="0" borderId="30" xfId="0" applyFont="1" applyBorder="1" applyAlignment="1"/>
    <xf numFmtId="0" fontId="66" fillId="0" borderId="31" xfId="0" applyFont="1" applyBorder="1" applyAlignment="1"/>
    <xf numFmtId="0" fontId="6" fillId="0" borderId="0" xfId="0" applyFont="1" applyAlignment="1"/>
    <xf numFmtId="0" fontId="67" fillId="0" borderId="28" xfId="0" applyFont="1" applyBorder="1" applyAlignment="1">
      <alignment horizontal="left" vertical="center" indent="1"/>
    </xf>
    <xf numFmtId="0" fontId="66" fillId="0" borderId="0" xfId="0" applyFont="1">
      <alignment vertical="center"/>
    </xf>
    <xf numFmtId="0" fontId="66" fillId="0" borderId="32" xfId="0" applyFont="1" applyBorder="1">
      <alignment vertical="center"/>
    </xf>
    <xf numFmtId="0" fontId="68" fillId="0" borderId="28" xfId="0" applyFont="1" applyBorder="1" applyAlignment="1">
      <alignment horizontal="left" vertical="center" indent="1"/>
    </xf>
    <xf numFmtId="0" fontId="68" fillId="0" borderId="33" xfId="0" applyFont="1" applyBorder="1" applyAlignment="1">
      <alignment horizontal="left" vertical="top" indent="1"/>
    </xf>
    <xf numFmtId="0" fontId="66" fillId="0" borderId="34" xfId="0" applyFont="1" applyBorder="1" applyAlignment="1">
      <alignment vertical="top"/>
    </xf>
    <xf numFmtId="0" fontId="66" fillId="0" borderId="35" xfId="0" applyFont="1" applyBorder="1" applyAlignment="1">
      <alignment vertical="top"/>
    </xf>
    <xf numFmtId="0" fontId="67" fillId="0" borderId="0" xfId="0" applyFont="1" applyAlignment="1">
      <alignment horizontal="left" vertical="center" wrapText="1"/>
    </xf>
    <xf numFmtId="0" fontId="6" fillId="0" borderId="0" xfId="0" applyFont="1" applyAlignment="1">
      <alignment vertical="top" wrapText="1"/>
    </xf>
    <xf numFmtId="0" fontId="18" fillId="13" borderId="36" xfId="0" applyFont="1" applyFill="1" applyBorder="1" applyAlignment="1">
      <alignment horizontal="center" vertical="top"/>
    </xf>
    <xf numFmtId="0" fontId="21" fillId="16" borderId="37" xfId="0" applyFont="1" applyFill="1" applyBorder="1" applyAlignment="1">
      <alignment vertical="top"/>
    </xf>
    <xf numFmtId="0" fontId="21" fillId="16" borderId="38" xfId="0" applyFont="1" applyFill="1" applyBorder="1" applyAlignment="1">
      <alignment vertical="top"/>
    </xf>
    <xf numFmtId="0" fontId="21" fillId="16" borderId="39" xfId="0" applyFont="1" applyFill="1" applyBorder="1" applyAlignment="1">
      <alignment vertical="top"/>
    </xf>
    <xf numFmtId="0" fontId="18" fillId="13" borderId="40" xfId="0" applyFont="1" applyFill="1" applyBorder="1" applyAlignment="1">
      <alignment horizontal="center" vertical="top"/>
    </xf>
    <xf numFmtId="0" fontId="21" fillId="16" borderId="8" xfId="0" applyFont="1" applyFill="1" applyBorder="1" applyAlignment="1">
      <alignment vertical="top"/>
    </xf>
    <xf numFmtId="0" fontId="21" fillId="16" borderId="5" xfId="0" applyFont="1" applyFill="1" applyBorder="1" applyAlignment="1">
      <alignment vertical="top"/>
    </xf>
    <xf numFmtId="0" fontId="21" fillId="16" borderId="41" xfId="0" applyFont="1" applyFill="1" applyBorder="1" applyAlignment="1">
      <alignment vertical="top"/>
    </xf>
    <xf numFmtId="0" fontId="69" fillId="0" borderId="0" xfId="0" applyFont="1" applyAlignment="1">
      <alignment vertical="top"/>
    </xf>
    <xf numFmtId="0" fontId="18" fillId="13" borderId="10" xfId="0" applyFont="1" applyFill="1" applyBorder="1" applyAlignment="1">
      <alignment horizontal="center" vertical="top"/>
    </xf>
    <xf numFmtId="0" fontId="18" fillId="13" borderId="1" xfId="0" applyFont="1" applyFill="1" applyBorder="1" applyAlignment="1">
      <alignment horizontal="center" vertical="top"/>
    </xf>
    <xf numFmtId="0" fontId="21" fillId="16" borderId="1" xfId="0" applyFont="1" applyFill="1" applyBorder="1" applyAlignment="1">
      <alignment horizontal="center" vertical="top"/>
    </xf>
    <xf numFmtId="0" fontId="21" fillId="16" borderId="41" xfId="0" applyFont="1" applyFill="1" applyBorder="1" applyAlignment="1">
      <alignment horizontal="center" vertical="top"/>
    </xf>
    <xf numFmtId="0" fontId="18" fillId="13" borderId="11" xfId="0" applyFont="1" applyFill="1" applyBorder="1" applyAlignment="1">
      <alignment horizontal="center" vertical="top"/>
    </xf>
    <xf numFmtId="0" fontId="18" fillId="13" borderId="12" xfId="0" applyFont="1" applyFill="1" applyBorder="1" applyAlignment="1">
      <alignment horizontal="center" vertical="top"/>
    </xf>
    <xf numFmtId="0" fontId="21" fillId="16" borderId="12" xfId="0" applyFont="1" applyFill="1" applyBorder="1" applyAlignment="1">
      <alignment horizontal="center" vertical="top" wrapText="1"/>
    </xf>
    <xf numFmtId="0" fontId="28" fillId="16" borderId="42" xfId="13" applyFill="1" applyBorder="1" applyAlignment="1">
      <alignment horizontal="center" vertical="top"/>
    </xf>
    <xf numFmtId="0" fontId="70" fillId="0" borderId="0" xfId="0" applyFont="1" applyAlignment="1">
      <alignment horizontal="center" vertical="top"/>
    </xf>
    <xf numFmtId="0" fontId="71" fillId="0" borderId="0" xfId="0" applyFont="1" applyAlignment="1">
      <alignment horizontal="center" vertical="top"/>
    </xf>
  </cellXfs>
  <cellStyles count="14">
    <cellStyle name="Normal 2 2" xfId="3"/>
    <cellStyle name="Normal 5" xfId="4"/>
    <cellStyle name="Normal_Sheet1" xfId="5"/>
    <cellStyle name="백분율" xfId="1" builtinId="5"/>
    <cellStyle name="백분율 2" xfId="8"/>
    <cellStyle name="쉼표 [0]" xfId="2" builtinId="6"/>
    <cellStyle name="쉼표 [0] 2" xfId="9"/>
    <cellStyle name="쉼표 [0] 2 2" xfId="10"/>
    <cellStyle name="표준" xfId="0" builtinId="0"/>
    <cellStyle name="표준 2" xfId="7"/>
    <cellStyle name="표준 3" xfId="11"/>
    <cellStyle name="표준 4" xfId="12"/>
    <cellStyle name="하이퍼링크" xfId="13" builtinId="8"/>
    <cellStyle name="하이퍼링크 2" xfId="6"/>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2" defaultPivotStyle="PivotStyleLight16"/>
  <colors>
    <mruColors>
      <color rgb="FFFFFFCC"/>
      <color rgb="FFFAFAFF"/>
      <color rgb="FFF5F5FF"/>
      <color rgb="FFEFEFFF"/>
      <color rgb="FF6666FF"/>
      <color rgb="FFF4F1F9"/>
      <color rgb="FFFFEFEF"/>
      <color rgb="FFFEF5F0"/>
      <color rgb="FF4C21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externalLink" Target="externalLinks/externalLink55.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66" Type="http://schemas.openxmlformats.org/officeDocument/2006/relationships/externalLink" Target="externalLinks/externalLink53.xml"/><Relationship Id="rId5" Type="http://schemas.openxmlformats.org/officeDocument/2006/relationships/worksheet" Target="worksheets/sheet5.xml"/><Relationship Id="rId61" Type="http://schemas.openxmlformats.org/officeDocument/2006/relationships/externalLink" Target="externalLinks/externalLink48.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56" Type="http://schemas.openxmlformats.org/officeDocument/2006/relationships/externalLink" Target="externalLinks/externalLink43.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externalLink" Target="externalLinks/externalLink46.xml"/><Relationship Id="rId67" Type="http://schemas.openxmlformats.org/officeDocument/2006/relationships/externalLink" Target="externalLinks/externalLink5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62" Type="http://schemas.openxmlformats.org/officeDocument/2006/relationships/externalLink" Target="externalLinks/externalLink49.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 Type="http://schemas.openxmlformats.org/officeDocument/2006/relationships/worksheet" Target="worksheets/sheet7.xml"/><Relationship Id="rId71"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돋움"/>
                <a:ea typeface="돋움"/>
                <a:cs typeface="돋움"/>
              </a:defRPr>
            </a:pPr>
            <a:r>
              <a:rPr lang="ko-KR" altLang="en-US"/>
              <a:t>원단 로스 수율</a:t>
            </a:r>
            <a:r>
              <a:rPr lang="en-US" altLang="ko-KR"/>
              <a:t>(%)</a:t>
            </a:r>
          </a:p>
          <a:p>
            <a:pPr>
              <a:defRPr sz="800" b="0" i="0" u="none" strike="noStrike" baseline="0">
                <a:solidFill>
                  <a:srgbClr val="000000"/>
                </a:solidFill>
                <a:latin typeface="돋움"/>
                <a:ea typeface="돋움"/>
                <a:cs typeface="돋움"/>
              </a:defRPr>
            </a:pPr>
            <a:endParaRPr lang="ko-KR" altLang="en-US"/>
          </a:p>
        </c:rich>
      </c:tx>
      <c:layout>
        <c:manualLayout>
          <c:xMode val="edge"/>
          <c:yMode val="edge"/>
          <c:x val="0.39642932133483311"/>
          <c:y val="4.8387096774193547E-2"/>
        </c:manualLayout>
      </c:layout>
      <c:overlay val="0"/>
      <c:spPr>
        <a:noFill/>
        <a:ln w="25400">
          <a:noFill/>
        </a:ln>
      </c:spPr>
    </c:title>
    <c:autoTitleDeleted val="0"/>
    <c:plotArea>
      <c:layout>
        <c:manualLayout>
          <c:layoutTarget val="inner"/>
          <c:xMode val="edge"/>
          <c:yMode val="edge"/>
          <c:x val="0.13214308758211424"/>
          <c:y val="0.38709880659235651"/>
          <c:w val="0.81785856908930155"/>
          <c:h val="0.40860429584748742"/>
        </c:manualLayout>
      </c:layout>
      <c:barChart>
        <c:barDir val="col"/>
        <c:grouping val="clustered"/>
        <c:varyColors val="0"/>
        <c:ser>
          <c:idx val="2"/>
          <c:order val="1"/>
          <c:tx>
            <c:strRef>
              <c:f>'KPI(성과지표)그래프'!$A$11</c:f>
              <c:strCache>
                <c:ptCount val="1"/>
                <c:pt idx="0">
                  <c:v>실적</c:v>
                </c:pt>
              </c:strCache>
            </c:strRef>
          </c:tx>
          <c:spPr>
            <a:solidFill>
              <a:srgbClr val="FFFFCC"/>
            </a:solidFill>
            <a:ln w="12700">
              <a:solidFill>
                <a:srgbClr val="000000"/>
              </a:solidFill>
              <a:prstDash val="solid"/>
            </a:ln>
          </c:spPr>
          <c:invertIfNegative val="0"/>
          <c:val>
            <c:numRef>
              <c:f>'KPI(성과지표)그래프'!$E$11:$O$11</c:f>
              <c:numCache>
                <c:formatCode>#,##0.0_ </c:formatCode>
                <c:ptCount val="11"/>
                <c:pt idx="0">
                  <c:v>94.8</c:v>
                </c:pt>
                <c:pt idx="1">
                  <c:v>92</c:v>
                </c:pt>
                <c:pt idx="2">
                  <c:v>91</c:v>
                </c:pt>
                <c:pt idx="3">
                  <c:v>91</c:v>
                </c:pt>
                <c:pt idx="4">
                  <c:v>94</c:v>
                </c:pt>
                <c:pt idx="5">
                  <c:v>95</c:v>
                </c:pt>
                <c:pt idx="6">
                  <c:v>94</c:v>
                </c:pt>
                <c:pt idx="7">
                  <c:v>93.4</c:v>
                </c:pt>
                <c:pt idx="8">
                  <c:v>92</c:v>
                </c:pt>
                <c:pt idx="9">
                  <c:v>92</c:v>
                </c:pt>
                <c:pt idx="10">
                  <c:v>96</c:v>
                </c:pt>
              </c:numCache>
            </c:numRef>
          </c:val>
          <c:extLst xmlns:c16r2="http://schemas.microsoft.com/office/drawing/2015/06/chart">
            <c:ext xmlns:c16="http://schemas.microsoft.com/office/drawing/2014/chart" uri="{C3380CC4-5D6E-409C-BE32-E72D297353CC}">
              <c16:uniqueId val="{00000000-8083-48C0-9AE4-44DF63738918}"/>
            </c:ext>
          </c:extLst>
        </c:ser>
        <c:dLbls>
          <c:showLegendKey val="0"/>
          <c:showVal val="0"/>
          <c:showCatName val="0"/>
          <c:showSerName val="0"/>
          <c:showPercent val="0"/>
          <c:showBubbleSize val="0"/>
        </c:dLbls>
        <c:gapWidth val="150"/>
        <c:axId val="310782976"/>
        <c:axId val="310025536"/>
      </c:barChart>
      <c:lineChart>
        <c:grouping val="standard"/>
        <c:varyColors val="0"/>
        <c:ser>
          <c:idx val="1"/>
          <c:order val="0"/>
          <c:tx>
            <c:strRef>
              <c:f>'KPI(성과지표)그래프'!$A$10</c:f>
              <c:strCache>
                <c:ptCount val="1"/>
                <c:pt idx="0">
                  <c:v>계획</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val>
            <c:numRef>
              <c:f>'KPI(성과지표)그래프'!$E$10:$O$10</c:f>
              <c:numCache>
                <c:formatCode>General</c:formatCode>
                <c:ptCount val="11"/>
                <c:pt idx="0">
                  <c:v>98</c:v>
                </c:pt>
                <c:pt idx="1">
                  <c:v>98</c:v>
                </c:pt>
                <c:pt idx="2">
                  <c:v>98</c:v>
                </c:pt>
                <c:pt idx="3">
                  <c:v>98</c:v>
                </c:pt>
                <c:pt idx="4">
                  <c:v>98</c:v>
                </c:pt>
                <c:pt idx="5">
                  <c:v>98</c:v>
                </c:pt>
                <c:pt idx="6">
                  <c:v>98</c:v>
                </c:pt>
                <c:pt idx="7">
                  <c:v>98</c:v>
                </c:pt>
                <c:pt idx="8">
                  <c:v>98</c:v>
                </c:pt>
                <c:pt idx="9">
                  <c:v>98</c:v>
                </c:pt>
                <c:pt idx="10">
                  <c:v>98</c:v>
                </c:pt>
              </c:numCache>
            </c:numRef>
          </c:val>
          <c:smooth val="0"/>
          <c:extLst xmlns:c16r2="http://schemas.microsoft.com/office/drawing/2015/06/chart">
            <c:ext xmlns:c16="http://schemas.microsoft.com/office/drawing/2014/chart" uri="{C3380CC4-5D6E-409C-BE32-E72D297353CC}">
              <c16:uniqueId val="{00000001-8083-48C0-9AE4-44DF63738918}"/>
            </c:ext>
          </c:extLst>
        </c:ser>
        <c:dLbls>
          <c:showLegendKey val="0"/>
          <c:showVal val="0"/>
          <c:showCatName val="0"/>
          <c:showSerName val="0"/>
          <c:showPercent val="0"/>
          <c:showBubbleSize val="0"/>
        </c:dLbls>
        <c:marker val="1"/>
        <c:smooth val="0"/>
        <c:axId val="310782976"/>
        <c:axId val="310025536"/>
      </c:lineChart>
      <c:catAx>
        <c:axId val="31078297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0025536"/>
        <c:crosses val="autoZero"/>
        <c:auto val="1"/>
        <c:lblAlgn val="ctr"/>
        <c:lblOffset val="100"/>
        <c:tickLblSkip val="1"/>
        <c:tickMarkSkip val="1"/>
        <c:noMultiLvlLbl val="0"/>
      </c:catAx>
      <c:valAx>
        <c:axId val="310025536"/>
        <c:scaling>
          <c:orientation val="minMax"/>
        </c:scaling>
        <c:delete val="0"/>
        <c:axPos val="l"/>
        <c:majorGridlines>
          <c:spPr>
            <a:ln w="3175">
              <a:solidFill>
                <a:srgbClr val="000000"/>
              </a:solidFill>
              <a:prstDash val="solid"/>
            </a:ln>
          </c:spPr>
        </c:majorGridlines>
        <c:numFmt formatCode="#,##0.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0782976"/>
        <c:crosses val="autoZero"/>
        <c:crossBetween val="between"/>
      </c:valAx>
      <c:spPr>
        <a:solidFill>
          <a:srgbClr val="C0C0C0"/>
        </a:solidFill>
        <a:ln w="12700">
          <a:solidFill>
            <a:srgbClr val="808080"/>
          </a:solidFill>
          <a:prstDash val="solid"/>
        </a:ln>
      </c:spPr>
    </c:plotArea>
    <c:legend>
      <c:legendPos val="r"/>
      <c:layout>
        <c:manualLayout>
          <c:xMode val="edge"/>
          <c:yMode val="edge"/>
          <c:x val="0.32858230221222345"/>
          <c:y val="0.17742556374001639"/>
          <c:w val="0.42501387326584178"/>
          <c:h val="0.1075308328394434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돋움"/>
              <a:ea typeface="돋움"/>
              <a:cs typeface="돋움"/>
            </a:defRPr>
          </a:pPr>
          <a:endParaRPr lang="ko-KR"/>
        </a:p>
      </c:txPr>
    </c:legend>
    <c:plotVisOnly val="1"/>
    <c:dispBlanksAs val="gap"/>
    <c:showDLblsOverMax val="0"/>
  </c:chart>
  <c:spPr>
    <a:solidFill>
      <a:srgbClr val="FFFFFF"/>
    </a:solidFill>
    <a:ln w="3175">
      <a:solidFill>
        <a:srgbClr val="000000"/>
      </a:solidFill>
      <a:prstDash val="solid"/>
    </a:ln>
    <a:effectLst>
      <a:outerShdw dist="35921" dir="2700000" algn="br">
        <a:srgbClr val="000000"/>
      </a:outerShdw>
    </a:effectLst>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돋움"/>
                <a:ea typeface="돋움"/>
                <a:cs typeface="돋움"/>
              </a:defRPr>
            </a:pPr>
            <a:r>
              <a:rPr lang="ko-KR" altLang="en-US"/>
              <a:t>폐기물 마대 감소율</a:t>
            </a:r>
          </a:p>
        </c:rich>
      </c:tx>
      <c:layout>
        <c:manualLayout>
          <c:xMode val="edge"/>
          <c:yMode val="edge"/>
          <c:x val="0.41428646419197596"/>
          <c:y val="4.8387096774193547E-2"/>
        </c:manualLayout>
      </c:layout>
      <c:overlay val="0"/>
      <c:spPr>
        <a:noFill/>
        <a:ln w="25400">
          <a:noFill/>
        </a:ln>
      </c:spPr>
    </c:title>
    <c:autoTitleDeleted val="0"/>
    <c:plotArea>
      <c:layout>
        <c:manualLayout>
          <c:layoutTarget val="inner"/>
          <c:xMode val="edge"/>
          <c:yMode val="edge"/>
          <c:x val="0.13214308758211424"/>
          <c:y val="0.38709880659235651"/>
          <c:w val="0.81785856908930155"/>
          <c:h val="0.40860429584748742"/>
        </c:manualLayout>
      </c:layout>
      <c:barChart>
        <c:barDir val="col"/>
        <c:grouping val="clustered"/>
        <c:varyColors val="0"/>
        <c:ser>
          <c:idx val="0"/>
          <c:order val="1"/>
          <c:tx>
            <c:strRef>
              <c:f>'KPI(성과지표)그래프'!$A$19</c:f>
              <c:strCache>
                <c:ptCount val="1"/>
                <c:pt idx="0">
                  <c:v>실적</c:v>
                </c:pt>
              </c:strCache>
            </c:strRef>
          </c:tx>
          <c:spPr>
            <a:ln w="12700">
              <a:solidFill>
                <a:srgbClr val="000000"/>
              </a:solidFill>
              <a:prstDash val="solid"/>
            </a:ln>
          </c:spPr>
          <c:invertIfNegative val="0"/>
          <c:val>
            <c:numRef>
              <c:f>'KPI(성과지표)그래프'!$E$19:$O$19</c:f>
              <c:numCache>
                <c:formatCode>General</c:formatCode>
                <c:ptCount val="11"/>
                <c:pt idx="0">
                  <c:v>6</c:v>
                </c:pt>
                <c:pt idx="1">
                  <c:v>4</c:v>
                </c:pt>
                <c:pt idx="2">
                  <c:v>6</c:v>
                </c:pt>
                <c:pt idx="3">
                  <c:v>6</c:v>
                </c:pt>
                <c:pt idx="4">
                  <c:v>6</c:v>
                </c:pt>
                <c:pt idx="5">
                  <c:v>4</c:v>
                </c:pt>
                <c:pt idx="6">
                  <c:v>4</c:v>
                </c:pt>
                <c:pt idx="7">
                  <c:v>4</c:v>
                </c:pt>
                <c:pt idx="8">
                  <c:v>8</c:v>
                </c:pt>
                <c:pt idx="9">
                  <c:v>4</c:v>
                </c:pt>
                <c:pt idx="10">
                  <c:v>4</c:v>
                </c:pt>
              </c:numCache>
            </c:numRef>
          </c:val>
          <c:extLst xmlns:c16r2="http://schemas.microsoft.com/office/drawing/2015/06/chart">
            <c:ext xmlns:c16="http://schemas.microsoft.com/office/drawing/2014/chart" uri="{C3380CC4-5D6E-409C-BE32-E72D297353CC}">
              <c16:uniqueId val="{00000004-6407-4803-9A5B-5C3D73B71929}"/>
            </c:ext>
          </c:extLst>
        </c:ser>
        <c:dLbls>
          <c:showLegendKey val="0"/>
          <c:showVal val="0"/>
          <c:showCatName val="0"/>
          <c:showSerName val="0"/>
          <c:showPercent val="0"/>
          <c:showBubbleSize val="0"/>
        </c:dLbls>
        <c:gapWidth val="150"/>
        <c:axId val="308778496"/>
        <c:axId val="310043200"/>
      </c:barChart>
      <c:lineChart>
        <c:grouping val="standard"/>
        <c:varyColors val="0"/>
        <c:ser>
          <c:idx val="1"/>
          <c:order val="0"/>
          <c:tx>
            <c:strRef>
              <c:f>'KPI(성과지표)그래프'!$A$18</c:f>
              <c:strCache>
                <c:ptCount val="1"/>
                <c:pt idx="0">
                  <c:v>계획</c:v>
                </c:pt>
              </c:strCache>
            </c:strRef>
          </c:tx>
          <c:spPr>
            <a:ln w="12700">
              <a:solidFill>
                <a:srgbClr val="FF00FF"/>
              </a:solidFill>
              <a:prstDash val="solid"/>
            </a:ln>
          </c:spPr>
          <c:val>
            <c:numRef>
              <c:f>'KPI(성과지표)그래프'!$E$18:$O$18</c:f>
              <c:numCache>
                <c:formatCode>General</c:formatCode>
                <c:ptCount val="11"/>
                <c:pt idx="0">
                  <c:v>6</c:v>
                </c:pt>
                <c:pt idx="1">
                  <c:v>6</c:v>
                </c:pt>
                <c:pt idx="2">
                  <c:v>6</c:v>
                </c:pt>
                <c:pt idx="3">
                  <c:v>6</c:v>
                </c:pt>
                <c:pt idx="4">
                  <c:v>6</c:v>
                </c:pt>
                <c:pt idx="5">
                  <c:v>6</c:v>
                </c:pt>
                <c:pt idx="6">
                  <c:v>6</c:v>
                </c:pt>
                <c:pt idx="7">
                  <c:v>6</c:v>
                </c:pt>
                <c:pt idx="8">
                  <c:v>6</c:v>
                </c:pt>
                <c:pt idx="9">
                  <c:v>6</c:v>
                </c:pt>
                <c:pt idx="10">
                  <c:v>6</c:v>
                </c:pt>
              </c:numCache>
            </c:numRef>
          </c:val>
          <c:smooth val="0"/>
          <c:extLst xmlns:c16r2="http://schemas.microsoft.com/office/drawing/2015/06/chart">
            <c:ext xmlns:c16="http://schemas.microsoft.com/office/drawing/2014/chart" uri="{C3380CC4-5D6E-409C-BE32-E72D297353CC}">
              <c16:uniqueId val="{00000001-D53F-4877-A113-38A173770578}"/>
            </c:ext>
          </c:extLst>
        </c:ser>
        <c:dLbls>
          <c:showLegendKey val="0"/>
          <c:showVal val="0"/>
          <c:showCatName val="0"/>
          <c:showSerName val="0"/>
          <c:showPercent val="0"/>
          <c:showBubbleSize val="0"/>
        </c:dLbls>
        <c:marker val="1"/>
        <c:smooth val="0"/>
        <c:axId val="308778496"/>
        <c:axId val="310043200"/>
      </c:lineChart>
      <c:catAx>
        <c:axId val="30877849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0043200"/>
        <c:crosses val="autoZero"/>
        <c:auto val="1"/>
        <c:lblAlgn val="ctr"/>
        <c:lblOffset val="100"/>
        <c:noMultiLvlLbl val="0"/>
      </c:catAx>
      <c:valAx>
        <c:axId val="310043200"/>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08778496"/>
        <c:crosses val="autoZero"/>
        <c:crossBetween val="between"/>
      </c:valAx>
      <c:spPr>
        <a:solidFill>
          <a:srgbClr val="C0C0C0"/>
        </a:solidFill>
        <a:ln w="12700">
          <a:solidFill>
            <a:srgbClr val="808080"/>
          </a:solidFill>
          <a:prstDash val="solid"/>
        </a:ln>
      </c:spPr>
    </c:plotArea>
    <c:legend>
      <c:legendPos val="r"/>
      <c:layout>
        <c:manualLayout>
          <c:xMode val="edge"/>
          <c:yMode val="edge"/>
          <c:x val="0.32858230221222345"/>
          <c:y val="0.17742556374001639"/>
          <c:w val="0.19800664451827243"/>
          <c:h val="0.19034346513137471"/>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돋움"/>
              <a:ea typeface="돋움"/>
              <a:cs typeface="돋움"/>
            </a:defRPr>
          </a:pPr>
          <a:endParaRPr lang="ko-KR"/>
        </a:p>
      </c:txPr>
    </c:legend>
    <c:plotVisOnly val="1"/>
    <c:dispBlanksAs val="gap"/>
    <c:showDLblsOverMax val="0"/>
  </c:chart>
  <c:spPr>
    <a:solidFill>
      <a:srgbClr val="FFFFFF"/>
    </a:solidFill>
    <a:ln w="3175">
      <a:solidFill>
        <a:srgbClr val="000000"/>
      </a:solidFill>
      <a:prstDash val="solid"/>
    </a:ln>
    <a:effectLst>
      <a:outerShdw dist="35921" dir="2700000" algn="br">
        <a:srgbClr val="000000"/>
      </a:outerShdw>
    </a:effectLst>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돋움"/>
                <a:ea typeface="돋움"/>
                <a:cs typeface="돋움"/>
              </a:defRPr>
            </a:pPr>
            <a:r>
              <a:rPr lang="ko-KR" altLang="en-US"/>
              <a:t>전기 소비량</a:t>
            </a:r>
          </a:p>
        </c:rich>
      </c:tx>
      <c:layout>
        <c:manualLayout>
          <c:xMode val="edge"/>
          <c:yMode val="edge"/>
          <c:x val="0.39642932133483311"/>
          <c:y val="4.8648648648648651E-2"/>
        </c:manualLayout>
      </c:layout>
      <c:overlay val="0"/>
      <c:spPr>
        <a:noFill/>
        <a:ln w="25400">
          <a:noFill/>
        </a:ln>
      </c:spPr>
    </c:title>
    <c:autoTitleDeleted val="0"/>
    <c:plotArea>
      <c:layout>
        <c:manualLayout>
          <c:layoutTarget val="inner"/>
          <c:xMode val="edge"/>
          <c:yMode val="edge"/>
          <c:x val="0.15357169637921383"/>
          <c:y val="0.38918918918918921"/>
          <c:w val="0.79642996029220192"/>
          <c:h val="0.40540540540540543"/>
        </c:manualLayout>
      </c:layout>
      <c:barChart>
        <c:barDir val="col"/>
        <c:grouping val="clustered"/>
        <c:varyColors val="0"/>
        <c:ser>
          <c:idx val="2"/>
          <c:order val="1"/>
          <c:tx>
            <c:strRef>
              <c:f>'KPI(성과지표)그래프'!$A$27</c:f>
              <c:strCache>
                <c:ptCount val="1"/>
                <c:pt idx="0">
                  <c:v>실적</c:v>
                </c:pt>
              </c:strCache>
            </c:strRef>
          </c:tx>
          <c:spPr>
            <a:solidFill>
              <a:srgbClr val="FFFFCC"/>
            </a:solidFill>
            <a:ln w="12700">
              <a:solidFill>
                <a:srgbClr val="000000"/>
              </a:solidFill>
              <a:prstDash val="solid"/>
            </a:ln>
          </c:spPr>
          <c:invertIfNegative val="0"/>
          <c:val>
            <c:numRef>
              <c:f>'KPI(성과지표)그래프'!$E$27:$O$27</c:f>
              <c:numCache>
                <c:formatCode>General</c:formatCode>
                <c:ptCount val="11"/>
                <c:pt idx="0">
                  <c:v>795</c:v>
                </c:pt>
                <c:pt idx="1">
                  <c:v>774</c:v>
                </c:pt>
                <c:pt idx="2">
                  <c:v>669</c:v>
                </c:pt>
                <c:pt idx="3">
                  <c:v>639</c:v>
                </c:pt>
                <c:pt idx="4">
                  <c:v>586</c:v>
                </c:pt>
                <c:pt idx="5">
                  <c:v>764</c:v>
                </c:pt>
                <c:pt idx="6">
                  <c:v>783</c:v>
                </c:pt>
                <c:pt idx="7">
                  <c:v>691</c:v>
                </c:pt>
                <c:pt idx="8">
                  <c:v>640</c:v>
                </c:pt>
                <c:pt idx="9">
                  <c:v>583</c:v>
                </c:pt>
                <c:pt idx="10">
                  <c:v>0</c:v>
                </c:pt>
              </c:numCache>
            </c:numRef>
          </c:val>
          <c:extLst xmlns:c16r2="http://schemas.microsoft.com/office/drawing/2015/06/chart">
            <c:ext xmlns:c16="http://schemas.microsoft.com/office/drawing/2014/chart" uri="{C3380CC4-5D6E-409C-BE32-E72D297353CC}">
              <c16:uniqueId val="{00000000-AE69-421B-80F0-F03C1536784A}"/>
            </c:ext>
          </c:extLst>
        </c:ser>
        <c:dLbls>
          <c:showLegendKey val="0"/>
          <c:showVal val="0"/>
          <c:showCatName val="0"/>
          <c:showSerName val="0"/>
          <c:showPercent val="0"/>
          <c:showBubbleSize val="0"/>
        </c:dLbls>
        <c:gapWidth val="150"/>
        <c:axId val="308780544"/>
        <c:axId val="310044928"/>
      </c:barChart>
      <c:lineChart>
        <c:grouping val="standard"/>
        <c:varyColors val="0"/>
        <c:ser>
          <c:idx val="1"/>
          <c:order val="0"/>
          <c:tx>
            <c:strRef>
              <c:f>'KPI(성과지표)그래프'!$A$26</c:f>
              <c:strCache>
                <c:ptCount val="1"/>
                <c:pt idx="0">
                  <c:v>계획</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val>
            <c:numRef>
              <c:f>'KPI(성과지표)그래프'!$E$26:$O$26</c:f>
              <c:numCache>
                <c:formatCode>General</c:formatCode>
                <c:ptCount val="11"/>
                <c:pt idx="0">
                  <c:v>600</c:v>
                </c:pt>
                <c:pt idx="1">
                  <c:v>600</c:v>
                </c:pt>
                <c:pt idx="2">
                  <c:v>600</c:v>
                </c:pt>
                <c:pt idx="3">
                  <c:v>600</c:v>
                </c:pt>
                <c:pt idx="4">
                  <c:v>600</c:v>
                </c:pt>
                <c:pt idx="5">
                  <c:v>600</c:v>
                </c:pt>
                <c:pt idx="6">
                  <c:v>600</c:v>
                </c:pt>
                <c:pt idx="7">
                  <c:v>600</c:v>
                </c:pt>
                <c:pt idx="8">
                  <c:v>600</c:v>
                </c:pt>
                <c:pt idx="9">
                  <c:v>600</c:v>
                </c:pt>
                <c:pt idx="10">
                  <c:v>600</c:v>
                </c:pt>
              </c:numCache>
            </c:numRef>
          </c:val>
          <c:smooth val="0"/>
          <c:extLst xmlns:c16r2="http://schemas.microsoft.com/office/drawing/2015/06/chart">
            <c:ext xmlns:c16="http://schemas.microsoft.com/office/drawing/2014/chart" uri="{C3380CC4-5D6E-409C-BE32-E72D297353CC}">
              <c16:uniqueId val="{00000001-AE69-421B-80F0-F03C1536784A}"/>
            </c:ext>
          </c:extLst>
        </c:ser>
        <c:dLbls>
          <c:showLegendKey val="0"/>
          <c:showVal val="0"/>
          <c:showCatName val="0"/>
          <c:showSerName val="0"/>
          <c:showPercent val="0"/>
          <c:showBubbleSize val="0"/>
        </c:dLbls>
        <c:marker val="1"/>
        <c:smooth val="0"/>
        <c:axId val="308780544"/>
        <c:axId val="310044928"/>
      </c:lineChart>
      <c:catAx>
        <c:axId val="30878054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0044928"/>
        <c:crosses val="autoZero"/>
        <c:auto val="1"/>
        <c:lblAlgn val="ctr"/>
        <c:lblOffset val="100"/>
        <c:tickLblSkip val="1"/>
        <c:tickMarkSkip val="1"/>
        <c:noMultiLvlLbl val="0"/>
      </c:catAx>
      <c:valAx>
        <c:axId val="310044928"/>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08780544"/>
        <c:crosses val="autoZero"/>
        <c:crossBetween val="between"/>
      </c:valAx>
      <c:spPr>
        <a:solidFill>
          <a:srgbClr val="C0C0C0"/>
        </a:solidFill>
        <a:ln w="12700">
          <a:solidFill>
            <a:srgbClr val="808080"/>
          </a:solidFill>
          <a:prstDash val="solid"/>
        </a:ln>
      </c:spPr>
    </c:plotArea>
    <c:legend>
      <c:legendPos val="r"/>
      <c:layout>
        <c:manualLayout>
          <c:xMode val="edge"/>
          <c:yMode val="edge"/>
          <c:x val="0.33929696287964001"/>
          <c:y val="0.17838405334468327"/>
          <c:w val="0.42501387326584178"/>
          <c:h val="0.1081115130878910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돋움"/>
              <a:ea typeface="돋움"/>
              <a:cs typeface="돋움"/>
            </a:defRPr>
          </a:pPr>
          <a:endParaRPr lang="ko-KR"/>
        </a:p>
      </c:txPr>
    </c:legend>
    <c:plotVisOnly val="1"/>
    <c:dispBlanksAs val="gap"/>
    <c:showDLblsOverMax val="0"/>
  </c:chart>
  <c:spPr>
    <a:solidFill>
      <a:srgbClr val="FFFFFF"/>
    </a:solidFill>
    <a:ln w="3175">
      <a:solidFill>
        <a:srgbClr val="000000"/>
      </a:solidFill>
      <a:prstDash val="solid"/>
    </a:ln>
    <a:effectLst>
      <a:outerShdw dist="35921" dir="2700000" algn="br">
        <a:srgbClr val="000000"/>
      </a:outerShdw>
    </a:effectLst>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돋움"/>
                <a:ea typeface="돋움"/>
                <a:cs typeface="돋움"/>
              </a:defRPr>
            </a:pPr>
            <a:r>
              <a:rPr lang="ko-KR" altLang="en-US"/>
              <a:t>가스소비량</a:t>
            </a:r>
          </a:p>
        </c:rich>
      </c:tx>
      <c:layout>
        <c:manualLayout>
          <c:xMode val="edge"/>
          <c:yMode val="edge"/>
          <c:x val="0.3750007499062617"/>
          <c:y val="4.8387096774193547E-2"/>
        </c:manualLayout>
      </c:layout>
      <c:overlay val="0"/>
      <c:spPr>
        <a:noFill/>
        <a:ln w="25400">
          <a:noFill/>
        </a:ln>
      </c:spPr>
    </c:title>
    <c:autoTitleDeleted val="0"/>
    <c:plotArea>
      <c:layout>
        <c:manualLayout>
          <c:layoutTarget val="inner"/>
          <c:xMode val="edge"/>
          <c:yMode val="edge"/>
          <c:x val="0.15357169637921383"/>
          <c:y val="0.38709880659235651"/>
          <c:w val="0.79642996029220192"/>
          <c:h val="0.40860429584748742"/>
        </c:manualLayout>
      </c:layout>
      <c:barChart>
        <c:barDir val="col"/>
        <c:grouping val="clustered"/>
        <c:varyColors val="0"/>
        <c:ser>
          <c:idx val="1"/>
          <c:order val="1"/>
          <c:tx>
            <c:strRef>
              <c:f>'KPI(성과지표)그래프'!$A$36</c:f>
              <c:strCache>
                <c:ptCount val="1"/>
                <c:pt idx="0">
                  <c:v>실적</c:v>
                </c:pt>
              </c:strCache>
            </c:strRef>
          </c:tx>
          <c:spPr>
            <a:solidFill>
              <a:srgbClr val="993366"/>
            </a:solidFill>
            <a:ln w="12700">
              <a:solidFill>
                <a:srgbClr val="000000"/>
              </a:solidFill>
              <a:prstDash val="solid"/>
            </a:ln>
          </c:spPr>
          <c:invertIfNegative val="0"/>
          <c:val>
            <c:numRef>
              <c:f>'KPI(성과지표)그래프'!$E$36:$O$36</c:f>
              <c:numCache>
                <c:formatCode>General</c:formatCode>
                <c:ptCount val="11"/>
                <c:pt idx="0">
                  <c:v>360</c:v>
                </c:pt>
                <c:pt idx="1">
                  <c:v>236</c:v>
                </c:pt>
                <c:pt idx="2">
                  <c:v>168</c:v>
                </c:pt>
                <c:pt idx="3">
                  <c:v>13</c:v>
                </c:pt>
                <c:pt idx="4">
                  <c:v>57</c:v>
                </c:pt>
                <c:pt idx="5">
                  <c:v>166</c:v>
                </c:pt>
                <c:pt idx="6">
                  <c:v>244</c:v>
                </c:pt>
                <c:pt idx="7">
                  <c:v>242</c:v>
                </c:pt>
                <c:pt idx="8">
                  <c:v>193</c:v>
                </c:pt>
                <c:pt idx="9">
                  <c:v>56</c:v>
                </c:pt>
                <c:pt idx="10">
                  <c:v>0</c:v>
                </c:pt>
              </c:numCache>
            </c:numRef>
          </c:val>
          <c:extLst xmlns:c16r2="http://schemas.microsoft.com/office/drawing/2015/06/chart">
            <c:ext xmlns:c16="http://schemas.microsoft.com/office/drawing/2014/chart" uri="{C3380CC4-5D6E-409C-BE32-E72D297353CC}">
              <c16:uniqueId val="{00000000-FAE6-4B2E-9FAC-1E1792DF7F67}"/>
            </c:ext>
          </c:extLst>
        </c:ser>
        <c:dLbls>
          <c:showLegendKey val="0"/>
          <c:showVal val="0"/>
          <c:showCatName val="0"/>
          <c:showSerName val="0"/>
          <c:showPercent val="0"/>
          <c:showBubbleSize val="0"/>
        </c:dLbls>
        <c:gapWidth val="150"/>
        <c:axId val="312555008"/>
        <c:axId val="310046656"/>
      </c:barChart>
      <c:lineChart>
        <c:grouping val="standard"/>
        <c:varyColors val="0"/>
        <c:ser>
          <c:idx val="0"/>
          <c:order val="0"/>
          <c:tx>
            <c:strRef>
              <c:f>'KPI(성과지표)그래프'!$A$35</c:f>
              <c:strCache>
                <c:ptCount val="1"/>
                <c:pt idx="0">
                  <c:v>계획</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'KPI(성과지표)그래프'!$E$35:$O$35</c:f>
              <c:numCache>
                <c:formatCode>General</c:formatCode>
                <c:ptCount val="11"/>
                <c:pt idx="0">
                  <c:v>150</c:v>
                </c:pt>
                <c:pt idx="1">
                  <c:v>150</c:v>
                </c:pt>
                <c:pt idx="2">
                  <c:v>150</c:v>
                </c:pt>
                <c:pt idx="3">
                  <c:v>150</c:v>
                </c:pt>
                <c:pt idx="4">
                  <c:v>150</c:v>
                </c:pt>
                <c:pt idx="5">
                  <c:v>150</c:v>
                </c:pt>
                <c:pt idx="6">
                  <c:v>150</c:v>
                </c:pt>
                <c:pt idx="7">
                  <c:v>150</c:v>
                </c:pt>
                <c:pt idx="8">
                  <c:v>150</c:v>
                </c:pt>
                <c:pt idx="9">
                  <c:v>150</c:v>
                </c:pt>
                <c:pt idx="10">
                  <c:v>150</c:v>
                </c:pt>
              </c:numCache>
            </c:numRef>
          </c:val>
          <c:smooth val="0"/>
          <c:extLst xmlns:c16r2="http://schemas.microsoft.com/office/drawing/2015/06/chart">
            <c:ext xmlns:c16="http://schemas.microsoft.com/office/drawing/2014/chart" uri="{C3380CC4-5D6E-409C-BE32-E72D297353CC}">
              <c16:uniqueId val="{00000001-FAE6-4B2E-9FAC-1E1792DF7F67}"/>
            </c:ext>
          </c:extLst>
        </c:ser>
        <c:dLbls>
          <c:showLegendKey val="0"/>
          <c:showVal val="0"/>
          <c:showCatName val="0"/>
          <c:showSerName val="0"/>
          <c:showPercent val="0"/>
          <c:showBubbleSize val="0"/>
        </c:dLbls>
        <c:marker val="1"/>
        <c:smooth val="0"/>
        <c:axId val="312555008"/>
        <c:axId val="310046656"/>
      </c:lineChart>
      <c:catAx>
        <c:axId val="3125550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0046656"/>
        <c:crosses val="autoZero"/>
        <c:auto val="1"/>
        <c:lblAlgn val="ctr"/>
        <c:lblOffset val="100"/>
        <c:tickLblSkip val="1"/>
        <c:tickMarkSkip val="1"/>
        <c:noMultiLvlLbl val="0"/>
      </c:catAx>
      <c:valAx>
        <c:axId val="310046656"/>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2555008"/>
        <c:crosses val="autoZero"/>
        <c:crossBetween val="between"/>
      </c:valAx>
      <c:spPr>
        <a:solidFill>
          <a:srgbClr val="C0C0C0"/>
        </a:solidFill>
        <a:ln w="12700">
          <a:solidFill>
            <a:srgbClr val="808080"/>
          </a:solidFill>
          <a:prstDash val="solid"/>
        </a:ln>
      </c:spPr>
    </c:plotArea>
    <c:legend>
      <c:legendPos val="r"/>
      <c:layout>
        <c:manualLayout>
          <c:xMode val="edge"/>
          <c:yMode val="edge"/>
          <c:x val="0.33929696287964001"/>
          <c:y val="0.17742556374001639"/>
          <c:w val="0.42501387326584178"/>
          <c:h val="0.1075308328394434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돋움"/>
              <a:ea typeface="돋움"/>
              <a:cs typeface="돋움"/>
            </a:defRPr>
          </a:pPr>
          <a:endParaRPr lang="ko-KR"/>
        </a:p>
      </c:txPr>
    </c:legend>
    <c:plotVisOnly val="1"/>
    <c:dispBlanksAs val="gap"/>
    <c:showDLblsOverMax val="0"/>
  </c:chart>
  <c:spPr>
    <a:solidFill>
      <a:srgbClr val="FFFFFF"/>
    </a:solidFill>
    <a:ln w="3175">
      <a:solidFill>
        <a:srgbClr val="000000"/>
      </a:solidFill>
      <a:prstDash val="solid"/>
    </a:ln>
    <a:effectLst>
      <a:outerShdw dist="35921" dir="2700000" algn="br">
        <a:srgbClr val="000000"/>
      </a:outerShdw>
    </a:effectLst>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돋움"/>
                <a:ea typeface="돋움"/>
                <a:cs typeface="돋움"/>
              </a:defRPr>
            </a:pPr>
            <a:r>
              <a:rPr lang="ko-KR" altLang="en-US"/>
              <a:t>하수도소비량</a:t>
            </a:r>
          </a:p>
        </c:rich>
      </c:tx>
      <c:layout>
        <c:manualLayout>
          <c:xMode val="edge"/>
          <c:yMode val="edge"/>
          <c:x val="0.39642932133483311"/>
          <c:y val="4.8387096774193547E-2"/>
        </c:manualLayout>
      </c:layout>
      <c:overlay val="0"/>
      <c:spPr>
        <a:noFill/>
        <a:ln w="25400">
          <a:noFill/>
        </a:ln>
      </c:spPr>
    </c:title>
    <c:autoTitleDeleted val="0"/>
    <c:plotArea>
      <c:layout>
        <c:manualLayout>
          <c:layoutTarget val="inner"/>
          <c:xMode val="edge"/>
          <c:yMode val="edge"/>
          <c:x val="0.15357169637921383"/>
          <c:y val="0.38709880659235651"/>
          <c:w val="0.79642996029220192"/>
          <c:h val="0.48924988055422836"/>
        </c:manualLayout>
      </c:layout>
      <c:barChart>
        <c:barDir val="col"/>
        <c:grouping val="clustered"/>
        <c:varyColors val="0"/>
        <c:ser>
          <c:idx val="2"/>
          <c:order val="2"/>
          <c:tx>
            <c:strRef>
              <c:f>'KPI(성과지표)그래프'!$A$45</c:f>
              <c:strCache>
                <c:ptCount val="1"/>
                <c:pt idx="0">
                  <c:v>실적</c:v>
                </c:pt>
              </c:strCache>
            </c:strRef>
          </c:tx>
          <c:spPr>
            <a:solidFill>
              <a:srgbClr val="FFFFCC"/>
            </a:solidFill>
            <a:ln w="12700">
              <a:solidFill>
                <a:srgbClr val="000000"/>
              </a:solidFill>
              <a:prstDash val="solid"/>
            </a:ln>
          </c:spPr>
          <c:invertIfNegative val="0"/>
          <c:val>
            <c:numRef>
              <c:f>'KPI(성과지표)그래프'!$E$45:$O$45</c:f>
              <c:numCache>
                <c:formatCode>General</c:formatCode>
                <c:ptCount val="11"/>
                <c:pt idx="0" formatCode="_(* #,##0_);_(* \(#,##0\);_(* &quot;-&quot;_);_(@_)">
                  <c:v>12</c:v>
                </c:pt>
                <c:pt idx="1">
                  <c:v>11</c:v>
                </c:pt>
                <c:pt idx="2">
                  <c:v>11</c:v>
                </c:pt>
                <c:pt idx="3">
                  <c:v>11</c:v>
                </c:pt>
                <c:pt idx="4">
                  <c:v>15</c:v>
                </c:pt>
                <c:pt idx="5">
                  <c:v>8</c:v>
                </c:pt>
                <c:pt idx="6">
                  <c:v>16</c:v>
                </c:pt>
                <c:pt idx="7">
                  <c:v>13</c:v>
                </c:pt>
                <c:pt idx="8">
                  <c:v>11</c:v>
                </c:pt>
                <c:pt idx="9">
                  <c:v>12</c:v>
                </c:pt>
                <c:pt idx="10">
                  <c:v>0</c:v>
                </c:pt>
              </c:numCache>
            </c:numRef>
          </c:val>
          <c:extLst xmlns:c16r2="http://schemas.microsoft.com/office/drawing/2015/06/chart">
            <c:ext xmlns:c16="http://schemas.microsoft.com/office/drawing/2014/chart" uri="{C3380CC4-5D6E-409C-BE32-E72D297353CC}">
              <c16:uniqueId val="{00000000-81AF-4B4A-878C-7E08FC9AF090}"/>
            </c:ext>
          </c:extLst>
        </c:ser>
        <c:dLbls>
          <c:showLegendKey val="0"/>
          <c:showVal val="0"/>
          <c:showCatName val="0"/>
          <c:showSerName val="0"/>
          <c:showPercent val="0"/>
          <c:showBubbleSize val="0"/>
        </c:dLbls>
        <c:gapWidth val="150"/>
        <c:axId val="312556032"/>
        <c:axId val="310048384"/>
      </c:barChart>
      <c:lineChart>
        <c:grouping val="standard"/>
        <c:varyColors val="0"/>
        <c:ser>
          <c:idx val="0"/>
          <c:order val="0"/>
          <c:tx>
            <c:strRef>
              <c:f>'KPI(성과지표)그래프'!$A$43</c:f>
              <c:strCache>
                <c:ptCount val="1"/>
                <c:pt idx="0">
                  <c:v>구분</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val>
            <c:numRef>
              <c:f>'KPI(성과지표)그래프'!$E$43:$O$43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xmlns:c16r2="http://schemas.microsoft.com/office/drawing/2015/06/chart">
            <c:ext xmlns:c16="http://schemas.microsoft.com/office/drawing/2014/chart" uri="{C3380CC4-5D6E-409C-BE32-E72D297353CC}">
              <c16:uniqueId val="{00000001-81AF-4B4A-878C-7E08FC9AF090}"/>
            </c:ext>
          </c:extLst>
        </c:ser>
        <c:ser>
          <c:idx val="1"/>
          <c:order val="1"/>
          <c:tx>
            <c:strRef>
              <c:f>'KPI(성과지표)그래프'!$A$44</c:f>
              <c:strCache>
                <c:ptCount val="1"/>
                <c:pt idx="0">
                  <c:v>계획</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val>
            <c:numRef>
              <c:f>'KPI(성과지표)그래프'!$E$44:$O$44</c:f>
              <c:numCache>
                <c:formatCode>General</c:formatCode>
                <c:ptCount val="11"/>
                <c:pt idx="0">
                  <c:v>12</c:v>
                </c:pt>
                <c:pt idx="1">
                  <c:v>12</c:v>
                </c:pt>
                <c:pt idx="2">
                  <c:v>12</c:v>
                </c:pt>
                <c:pt idx="3">
                  <c:v>12</c:v>
                </c:pt>
                <c:pt idx="4">
                  <c:v>12</c:v>
                </c:pt>
                <c:pt idx="5">
                  <c:v>12</c:v>
                </c:pt>
                <c:pt idx="6">
                  <c:v>12</c:v>
                </c:pt>
                <c:pt idx="7">
                  <c:v>12</c:v>
                </c:pt>
                <c:pt idx="8">
                  <c:v>12</c:v>
                </c:pt>
                <c:pt idx="9">
                  <c:v>12</c:v>
                </c:pt>
                <c:pt idx="10">
                  <c:v>12</c:v>
                </c:pt>
              </c:numCache>
            </c:numRef>
          </c:val>
          <c:smooth val="0"/>
          <c:extLst xmlns:c16r2="http://schemas.microsoft.com/office/drawing/2015/06/chart">
            <c:ext xmlns:c16="http://schemas.microsoft.com/office/drawing/2014/chart" uri="{C3380CC4-5D6E-409C-BE32-E72D297353CC}">
              <c16:uniqueId val="{00000002-81AF-4B4A-878C-7E08FC9AF090}"/>
            </c:ext>
          </c:extLst>
        </c:ser>
        <c:dLbls>
          <c:showLegendKey val="0"/>
          <c:showVal val="0"/>
          <c:showCatName val="0"/>
          <c:showSerName val="0"/>
          <c:showPercent val="0"/>
          <c:showBubbleSize val="0"/>
        </c:dLbls>
        <c:marker val="1"/>
        <c:smooth val="0"/>
        <c:axId val="312556032"/>
        <c:axId val="310048384"/>
      </c:lineChart>
      <c:catAx>
        <c:axId val="312556032"/>
        <c:scaling>
          <c:orientation val="minMax"/>
        </c:scaling>
        <c:delete val="1"/>
        <c:axPos val="b"/>
        <c:majorTickMark val="out"/>
        <c:minorTickMark val="none"/>
        <c:tickLblPos val="nextTo"/>
        <c:crossAx val="310048384"/>
        <c:crosses val="autoZero"/>
        <c:auto val="1"/>
        <c:lblAlgn val="ctr"/>
        <c:lblOffset val="100"/>
        <c:noMultiLvlLbl val="0"/>
      </c:catAx>
      <c:valAx>
        <c:axId val="310048384"/>
        <c:scaling>
          <c:orientation val="minMax"/>
        </c:scaling>
        <c:delete val="0"/>
        <c:axPos val="l"/>
        <c:majorGridlines>
          <c:spPr>
            <a:ln w="3175">
              <a:solidFill>
                <a:srgbClr val="000000"/>
              </a:solidFill>
              <a:prstDash val="solid"/>
            </a:ln>
          </c:spPr>
        </c:majorGridlines>
        <c:numFmt formatCode="_(* #,##0_);_(* \(#,##0\);_(* &quot;-&quot;_);_(@_)"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312556032"/>
        <c:crosses val="autoZero"/>
        <c:crossBetween val="between"/>
      </c:valAx>
      <c:spPr>
        <a:solidFill>
          <a:srgbClr val="C0C0C0"/>
        </a:solidFill>
        <a:ln w="12700">
          <a:solidFill>
            <a:srgbClr val="808080"/>
          </a:solidFill>
          <a:prstDash val="solid"/>
        </a:ln>
      </c:spPr>
    </c:plotArea>
    <c:legend>
      <c:legendPos val="r"/>
      <c:layout>
        <c:manualLayout>
          <c:xMode val="edge"/>
          <c:yMode val="edge"/>
          <c:x val="0.23215035620547433"/>
          <c:y val="0.17742556374001639"/>
          <c:w val="0.62859205099362581"/>
          <c:h val="0.1075308328394434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돋움"/>
              <a:ea typeface="돋움"/>
              <a:cs typeface="돋움"/>
            </a:defRPr>
          </a:pPr>
          <a:endParaRPr lang="ko-KR"/>
        </a:p>
      </c:txPr>
    </c:legend>
    <c:plotVisOnly val="1"/>
    <c:dispBlanksAs val="gap"/>
    <c:showDLblsOverMax val="0"/>
  </c:chart>
  <c:spPr>
    <a:solidFill>
      <a:srgbClr val="FFFFFF"/>
    </a:solidFill>
    <a:ln w="3175">
      <a:solidFill>
        <a:srgbClr val="000000"/>
      </a:solidFill>
      <a:prstDash val="solid"/>
    </a:ln>
    <a:effectLst>
      <a:outerShdw dist="35921" dir="2700000" algn="br">
        <a:srgbClr val="000000"/>
      </a:outerShdw>
    </a:effectLst>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Emissions!A1"/><Relationship Id="rId2" Type="http://schemas.openxmlformats.org/officeDocument/2006/relationships/hyperlink" Target="#Factory!A1"/><Relationship Id="rId1" Type="http://schemas.openxmlformats.org/officeDocument/2006/relationships/hyperlink" Target="#Management!A1"/><Relationship Id="rId5" Type="http://schemas.openxmlformats.org/officeDocument/2006/relationships/hyperlink" Target="#Hybrid!A1"/><Relationship Id="rId4"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17</xdr:row>
      <xdr:rowOff>152400</xdr:rowOff>
    </xdr:from>
    <xdr:to>
      <xdr:col>4</xdr:col>
      <xdr:colOff>991720</xdr:colOff>
      <xdr:row>32</xdr:row>
      <xdr:rowOff>209549</xdr:rowOff>
    </xdr:to>
    <xdr:pic>
      <xdr:nvPicPr>
        <xdr:cNvPr id="2" name="그림 1">
          <a:extLst>
            <a:ext uri="{FF2B5EF4-FFF2-40B4-BE49-F238E27FC236}">
              <a16:creationId xmlns:a16="http://schemas.microsoft.com/office/drawing/2014/main" xmlns="" id="{5804CAFF-8825-426F-B1AD-FF98E3B5E0B2}"/>
            </a:ext>
          </a:extLst>
        </xdr:cNvPr>
        <xdr:cNvPicPr>
          <a:picLocks noChangeAspect="1"/>
        </xdr:cNvPicPr>
      </xdr:nvPicPr>
      <xdr:blipFill>
        <a:blip xmlns:r="http://schemas.openxmlformats.org/officeDocument/2006/relationships" r:embed="rId1"/>
        <a:stretch>
          <a:fillRect/>
        </a:stretch>
      </xdr:blipFill>
      <xdr:spPr>
        <a:xfrm>
          <a:off x="1343025" y="4276725"/>
          <a:ext cx="4773145" cy="3200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47625</xdr:colOff>
      <xdr:row>4</xdr:row>
      <xdr:rowOff>485775</xdr:rowOff>
    </xdr:from>
    <xdr:to>
      <xdr:col>23</xdr:col>
      <xdr:colOff>228600</xdr:colOff>
      <xdr:row>11</xdr:row>
      <xdr:rowOff>9525</xdr:rowOff>
    </xdr:to>
    <xdr:graphicFrame macro="">
      <xdr:nvGraphicFramePr>
        <xdr:cNvPr id="2" name="Chart 3">
          <a:extLst>
            <a:ext uri="{FF2B5EF4-FFF2-40B4-BE49-F238E27FC236}">
              <a16:creationId xmlns:a16="http://schemas.microsoft.com/office/drawing/2014/main" xmlns=""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66674</xdr:colOff>
      <xdr:row>12</xdr:row>
      <xdr:rowOff>361950</xdr:rowOff>
    </xdr:from>
    <xdr:to>
      <xdr:col>23</xdr:col>
      <xdr:colOff>266699</xdr:colOff>
      <xdr:row>18</xdr:row>
      <xdr:rowOff>285750</xdr:rowOff>
    </xdr:to>
    <xdr:graphicFrame macro="">
      <xdr:nvGraphicFramePr>
        <xdr:cNvPr id="3" name="Chart 4">
          <a:extLst>
            <a:ext uri="{FF2B5EF4-FFF2-40B4-BE49-F238E27FC236}">
              <a16:creationId xmlns:a16="http://schemas.microsoft.com/office/drawing/2014/main" xmlns=""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66675</xdr:colOff>
      <xdr:row>21</xdr:row>
      <xdr:rowOff>0</xdr:rowOff>
    </xdr:from>
    <xdr:to>
      <xdr:col>23</xdr:col>
      <xdr:colOff>257175</xdr:colOff>
      <xdr:row>27</xdr:row>
      <xdr:rowOff>0</xdr:rowOff>
    </xdr:to>
    <xdr:graphicFrame macro="">
      <xdr:nvGraphicFramePr>
        <xdr:cNvPr id="4" name="Chart 5">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57150</xdr:colOff>
      <xdr:row>30</xdr:row>
      <xdr:rowOff>9525</xdr:rowOff>
    </xdr:from>
    <xdr:to>
      <xdr:col>23</xdr:col>
      <xdr:colOff>257175</xdr:colOff>
      <xdr:row>36</xdr:row>
      <xdr:rowOff>9525</xdr:rowOff>
    </xdr:to>
    <xdr:graphicFrame macro="">
      <xdr:nvGraphicFramePr>
        <xdr:cNvPr id="5" name="Chart 6">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66674</xdr:colOff>
      <xdr:row>39</xdr:row>
      <xdr:rowOff>0</xdr:rowOff>
    </xdr:from>
    <xdr:to>
      <xdr:col>23</xdr:col>
      <xdr:colOff>238125</xdr:colOff>
      <xdr:row>45</xdr:row>
      <xdr:rowOff>19050</xdr:rowOff>
    </xdr:to>
    <xdr:graphicFrame macro="">
      <xdr:nvGraphicFramePr>
        <xdr:cNvPr id="6" name="Chart 7">
          <a:extLst>
            <a:ext uri="{FF2B5EF4-FFF2-40B4-BE49-F238E27FC236}">
              <a16:creationId xmlns:a16="http://schemas.microsoft.com/office/drawing/2014/main" xmlns=""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95249</xdr:colOff>
      <xdr:row>6</xdr:row>
      <xdr:rowOff>19049</xdr:rowOff>
    </xdr:from>
    <xdr:to>
      <xdr:col>10</xdr:col>
      <xdr:colOff>1257299</xdr:colOff>
      <xdr:row>17</xdr:row>
      <xdr:rowOff>228599</xdr:rowOff>
    </xdr:to>
    <xdr:pic>
      <xdr:nvPicPr>
        <xdr:cNvPr id="2" name="그림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a:stretch>
          <a:fillRect/>
        </a:stretch>
      </xdr:blipFill>
      <xdr:spPr>
        <a:xfrm>
          <a:off x="10258424" y="1085849"/>
          <a:ext cx="5991225" cy="3552825"/>
        </a:xfrm>
        <a:prstGeom prst="rect">
          <a:avLst/>
        </a:prstGeom>
        <a:ln>
          <a:solidFill>
            <a:schemeClr val="accent1"/>
          </a:solidFill>
        </a:ln>
      </xdr:spPr>
    </xdr:pic>
    <xdr:clientData/>
  </xdr:twoCellAnchor>
  <xdr:twoCellAnchor editAs="oneCell">
    <xdr:from>
      <xdr:col>0</xdr:col>
      <xdr:colOff>0</xdr:colOff>
      <xdr:row>25</xdr:row>
      <xdr:rowOff>0</xdr:rowOff>
    </xdr:from>
    <xdr:to>
      <xdr:col>5</xdr:col>
      <xdr:colOff>1341896</xdr:colOff>
      <xdr:row>67</xdr:row>
      <xdr:rowOff>151431</xdr:rowOff>
    </xdr:to>
    <xdr:pic>
      <xdr:nvPicPr>
        <xdr:cNvPr id="4" name="그림 3">
          <a:extLst>
            <a:ext uri="{FF2B5EF4-FFF2-40B4-BE49-F238E27FC236}">
              <a16:creationId xmlns:a16="http://schemas.microsoft.com/office/drawing/2014/main" xmlns="" id="{8F5FE9E1-43E1-04B4-F33E-F9ADFC9D94A0}"/>
            </a:ext>
          </a:extLst>
        </xdr:cNvPr>
        <xdr:cNvPicPr>
          <a:picLocks noChangeAspect="1"/>
        </xdr:cNvPicPr>
      </xdr:nvPicPr>
      <xdr:blipFill>
        <a:blip xmlns:r="http://schemas.openxmlformats.org/officeDocument/2006/relationships" r:embed="rId2"/>
        <a:stretch>
          <a:fillRect/>
        </a:stretch>
      </xdr:blipFill>
      <xdr:spPr>
        <a:xfrm>
          <a:off x="0" y="5781675"/>
          <a:ext cx="9028571" cy="77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95249</xdr:colOff>
      <xdr:row>6</xdr:row>
      <xdr:rowOff>19049</xdr:rowOff>
    </xdr:from>
    <xdr:to>
      <xdr:col>10</xdr:col>
      <xdr:colOff>1257299</xdr:colOff>
      <xdr:row>17</xdr:row>
      <xdr:rowOff>228599</xdr:rowOff>
    </xdr:to>
    <xdr:pic>
      <xdr:nvPicPr>
        <xdr:cNvPr id="2" name="그림 1">
          <a:extLst>
            <a:ext uri="{FF2B5EF4-FFF2-40B4-BE49-F238E27FC236}">
              <a16:creationId xmlns:a16="http://schemas.microsoft.com/office/drawing/2014/main" xmlns="" id="{EFD33834-ACB4-4BB7-9156-DAEB7113DF09}"/>
            </a:ext>
          </a:extLst>
        </xdr:cNvPr>
        <xdr:cNvPicPr>
          <a:picLocks noChangeAspect="1"/>
        </xdr:cNvPicPr>
      </xdr:nvPicPr>
      <xdr:blipFill>
        <a:blip xmlns:r="http://schemas.openxmlformats.org/officeDocument/2006/relationships" r:embed="rId1"/>
        <a:stretch>
          <a:fillRect/>
        </a:stretch>
      </xdr:blipFill>
      <xdr:spPr>
        <a:xfrm>
          <a:off x="10258424" y="1085849"/>
          <a:ext cx="5991225" cy="3552825"/>
        </a:xfrm>
        <a:prstGeom prst="rect">
          <a:avLst/>
        </a:prstGeom>
        <a:ln>
          <a:solidFill>
            <a:schemeClr val="accent1"/>
          </a:solidFill>
        </a:ln>
      </xdr:spPr>
    </xdr:pic>
    <xdr:clientData/>
  </xdr:twoCellAnchor>
  <xdr:twoCellAnchor editAs="oneCell">
    <xdr:from>
      <xdr:col>0</xdr:col>
      <xdr:colOff>0</xdr:colOff>
      <xdr:row>25</xdr:row>
      <xdr:rowOff>0</xdr:rowOff>
    </xdr:from>
    <xdr:to>
      <xdr:col>5</xdr:col>
      <xdr:colOff>1341896</xdr:colOff>
      <xdr:row>67</xdr:row>
      <xdr:rowOff>151431</xdr:rowOff>
    </xdr:to>
    <xdr:pic>
      <xdr:nvPicPr>
        <xdr:cNvPr id="3" name="그림 2">
          <a:extLst>
            <a:ext uri="{FF2B5EF4-FFF2-40B4-BE49-F238E27FC236}">
              <a16:creationId xmlns:a16="http://schemas.microsoft.com/office/drawing/2014/main" xmlns="" id="{682CDE25-FA7F-4E4B-8BBF-BE591C0AA3A3}"/>
            </a:ext>
          </a:extLst>
        </xdr:cNvPr>
        <xdr:cNvPicPr>
          <a:picLocks noChangeAspect="1"/>
        </xdr:cNvPicPr>
      </xdr:nvPicPr>
      <xdr:blipFill>
        <a:blip xmlns:r="http://schemas.openxmlformats.org/officeDocument/2006/relationships" r:embed="rId2"/>
        <a:stretch>
          <a:fillRect/>
        </a:stretch>
      </xdr:blipFill>
      <xdr:spPr>
        <a:xfrm>
          <a:off x="0" y="6315075"/>
          <a:ext cx="9028571" cy="7752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122704</xdr:colOff>
      <xdr:row>9</xdr:row>
      <xdr:rowOff>171450</xdr:rowOff>
    </xdr:from>
    <xdr:to>
      <xdr:col>2</xdr:col>
      <xdr:colOff>1256180</xdr:colOff>
      <xdr:row>11</xdr:row>
      <xdr:rowOff>57150</xdr:rowOff>
    </xdr:to>
    <xdr:sp macro="" textlink="">
      <xdr:nvSpPr>
        <xdr:cNvPr id="2" name="순서도: 수행의 시작/종료 1">
          <a:extLst>
            <a:ext uri="{FF2B5EF4-FFF2-40B4-BE49-F238E27FC236}">
              <a16:creationId xmlns:a16="http://schemas.microsoft.com/office/drawing/2014/main" xmlns="" id="{0E37118F-46D2-4B46-8AA6-DDE5029694F9}"/>
            </a:ext>
          </a:extLst>
        </xdr:cNvPr>
        <xdr:cNvSpPr/>
      </xdr:nvSpPr>
      <xdr:spPr>
        <a:xfrm>
          <a:off x="615763" y="2916891"/>
          <a:ext cx="1133476" cy="311524"/>
        </a:xfrm>
        <a:prstGeom prst="flowChartTerminato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100">
              <a:solidFill>
                <a:schemeClr val="tx1"/>
              </a:solidFill>
            </a:rPr>
            <a:t>Start</a:t>
          </a:r>
          <a:endParaRPr lang="ko-KR" altLang="en-US" sz="1100">
            <a:solidFill>
              <a:schemeClr val="tx1"/>
            </a:solidFill>
          </a:endParaRPr>
        </a:p>
      </xdr:txBody>
    </xdr:sp>
    <xdr:clientData/>
  </xdr:twoCellAnchor>
  <xdr:twoCellAnchor>
    <xdr:from>
      <xdr:col>1</xdr:col>
      <xdr:colOff>47624</xdr:colOff>
      <xdr:row>12</xdr:row>
      <xdr:rowOff>142875</xdr:rowOff>
    </xdr:from>
    <xdr:to>
      <xdr:col>3</xdr:col>
      <xdr:colOff>123825</xdr:colOff>
      <xdr:row>14</xdr:row>
      <xdr:rowOff>180975</xdr:rowOff>
    </xdr:to>
    <xdr:sp macro="" textlink="">
      <xdr:nvSpPr>
        <xdr:cNvPr id="3" name="직사각형 2">
          <a:hlinkClick xmlns:r="http://schemas.openxmlformats.org/officeDocument/2006/relationships" r:id="rId1"/>
          <a:extLst>
            <a:ext uri="{FF2B5EF4-FFF2-40B4-BE49-F238E27FC236}">
              <a16:creationId xmlns:a16="http://schemas.microsoft.com/office/drawing/2014/main" xmlns="" id="{1A36C4D9-421E-4E32-8C51-D60147782A2E}"/>
            </a:ext>
          </a:extLst>
        </xdr:cNvPr>
        <xdr:cNvSpPr/>
      </xdr:nvSpPr>
      <xdr:spPr>
        <a:xfrm>
          <a:off x="257174" y="3495675"/>
          <a:ext cx="1828801" cy="45720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200">
              <a:solidFill>
                <a:schemeClr val="tx1"/>
              </a:solidFill>
            </a:rPr>
            <a:t>Management</a:t>
          </a:r>
        </a:p>
      </xdr:txBody>
    </xdr:sp>
    <xdr:clientData/>
  </xdr:twoCellAnchor>
  <xdr:twoCellAnchor>
    <xdr:from>
      <xdr:col>1</xdr:col>
      <xdr:colOff>47624</xdr:colOff>
      <xdr:row>19</xdr:row>
      <xdr:rowOff>181536</xdr:rowOff>
    </xdr:from>
    <xdr:to>
      <xdr:col>3</xdr:col>
      <xdr:colOff>123825</xdr:colOff>
      <xdr:row>22</xdr:row>
      <xdr:rowOff>10086</xdr:rowOff>
    </xdr:to>
    <xdr:sp macro="" textlink="">
      <xdr:nvSpPr>
        <xdr:cNvPr id="4" name="직사각형 3">
          <a:hlinkClick xmlns:r="http://schemas.openxmlformats.org/officeDocument/2006/relationships" r:id="rId2"/>
          <a:extLst>
            <a:ext uri="{FF2B5EF4-FFF2-40B4-BE49-F238E27FC236}">
              <a16:creationId xmlns:a16="http://schemas.microsoft.com/office/drawing/2014/main" xmlns="" id="{C3E79E93-CD60-4024-A7DD-0C9FD2E2BF32}"/>
            </a:ext>
          </a:extLst>
        </xdr:cNvPr>
        <xdr:cNvSpPr/>
      </xdr:nvSpPr>
      <xdr:spPr>
        <a:xfrm>
          <a:off x="257174" y="5077386"/>
          <a:ext cx="1828801" cy="45720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200">
              <a:solidFill>
                <a:schemeClr val="tx1"/>
              </a:solidFill>
            </a:rPr>
            <a:t>Factory</a:t>
          </a:r>
        </a:p>
      </xdr:txBody>
    </xdr:sp>
    <xdr:clientData/>
  </xdr:twoCellAnchor>
  <xdr:twoCellAnchor>
    <xdr:from>
      <xdr:col>1</xdr:col>
      <xdr:colOff>47624</xdr:colOff>
      <xdr:row>16</xdr:row>
      <xdr:rowOff>114300</xdr:rowOff>
    </xdr:from>
    <xdr:to>
      <xdr:col>3</xdr:col>
      <xdr:colOff>123825</xdr:colOff>
      <xdr:row>18</xdr:row>
      <xdr:rowOff>152400</xdr:rowOff>
    </xdr:to>
    <xdr:sp macro="" textlink="">
      <xdr:nvSpPr>
        <xdr:cNvPr id="5" name="직사각형 4">
          <a:hlinkClick xmlns:r="http://schemas.openxmlformats.org/officeDocument/2006/relationships" r:id="rId3"/>
          <a:extLst>
            <a:ext uri="{FF2B5EF4-FFF2-40B4-BE49-F238E27FC236}">
              <a16:creationId xmlns:a16="http://schemas.microsoft.com/office/drawing/2014/main" xmlns="" id="{FF7C9897-0B14-4ED0-86F2-477B68AD5635}"/>
            </a:ext>
          </a:extLst>
        </xdr:cNvPr>
        <xdr:cNvSpPr/>
      </xdr:nvSpPr>
      <xdr:spPr>
        <a:xfrm>
          <a:off x="257174" y="4305300"/>
          <a:ext cx="1828801" cy="457200"/>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200">
              <a:solidFill>
                <a:schemeClr val="tx1"/>
              </a:solidFill>
            </a:rPr>
            <a:t>Emissions</a:t>
          </a:r>
          <a:endParaRPr lang="ko-KR" altLang="en-US" sz="1200">
            <a:solidFill>
              <a:schemeClr val="tx1"/>
            </a:solidFill>
          </a:endParaRPr>
        </a:p>
      </xdr:txBody>
    </xdr:sp>
    <xdr:clientData/>
  </xdr:twoCellAnchor>
  <xdr:twoCellAnchor>
    <xdr:from>
      <xdr:col>3</xdr:col>
      <xdr:colOff>61912</xdr:colOff>
      <xdr:row>30</xdr:row>
      <xdr:rowOff>38100</xdr:rowOff>
    </xdr:from>
    <xdr:to>
      <xdr:col>5</xdr:col>
      <xdr:colOff>109537</xdr:colOff>
      <xdr:row>33</xdr:row>
      <xdr:rowOff>114300</xdr:rowOff>
    </xdr:to>
    <xdr:sp macro="" textlink="">
      <xdr:nvSpPr>
        <xdr:cNvPr id="7" name="순서도: 판단 6">
          <a:extLst>
            <a:ext uri="{FF2B5EF4-FFF2-40B4-BE49-F238E27FC236}">
              <a16:creationId xmlns:a16="http://schemas.microsoft.com/office/drawing/2014/main" xmlns="" id="{9BDC9DCC-0829-4280-8561-EA2E45AD8F5D}"/>
            </a:ext>
          </a:extLst>
        </xdr:cNvPr>
        <xdr:cNvSpPr/>
      </xdr:nvSpPr>
      <xdr:spPr>
        <a:xfrm>
          <a:off x="274824" y="5977218"/>
          <a:ext cx="1806948" cy="714935"/>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lnSpc>
              <a:spcPts val="1200"/>
            </a:lnSpc>
          </a:pPr>
          <a:endParaRPr lang="en-US" altLang="ko-KR" sz="1100" baseline="0">
            <a:solidFill>
              <a:schemeClr val="tx1"/>
            </a:solidFill>
            <a:latin typeface="+mn-lt"/>
            <a:ea typeface="+mn-ea"/>
            <a:cs typeface="+mn-cs"/>
          </a:endParaRPr>
        </a:p>
        <a:p>
          <a:pPr marL="0" indent="0" algn="ctr">
            <a:lnSpc>
              <a:spcPts val="1200"/>
            </a:lnSpc>
          </a:pPr>
          <a:r>
            <a:rPr lang="en-US" altLang="ko-KR" sz="1100" baseline="0">
              <a:solidFill>
                <a:schemeClr val="tx1"/>
              </a:solidFill>
              <a:latin typeface="+mn-lt"/>
              <a:ea typeface="+mn-ea"/>
              <a:cs typeface="+mn-cs"/>
            </a:rPr>
            <a:t>Scope 3 Category 1 emissions </a:t>
          </a:r>
          <a:br>
            <a:rPr lang="en-US" altLang="ko-KR" sz="1100" baseline="0">
              <a:solidFill>
                <a:schemeClr val="tx1"/>
              </a:solidFill>
              <a:latin typeface="+mn-lt"/>
              <a:ea typeface="+mn-ea"/>
              <a:cs typeface="+mn-cs"/>
            </a:rPr>
          </a:br>
          <a:r>
            <a:rPr lang="en-US" altLang="ko-KR" sz="1100" baseline="0">
              <a:solidFill>
                <a:schemeClr val="tx1"/>
              </a:solidFill>
              <a:latin typeface="+mn-lt"/>
              <a:ea typeface="+mn-ea"/>
              <a:cs typeface="+mn-cs"/>
            </a:rPr>
            <a:t>was calculated with</a:t>
          </a:r>
        </a:p>
        <a:p>
          <a:pPr marL="0" indent="0" algn="ctr">
            <a:lnSpc>
              <a:spcPts val="1200"/>
            </a:lnSpc>
          </a:pPr>
          <a:r>
            <a:rPr lang="en-US" altLang="ko-KR" sz="1100" baseline="0">
              <a:solidFill>
                <a:schemeClr val="tx1"/>
              </a:solidFill>
              <a:latin typeface="+mn-lt"/>
              <a:ea typeface="+mn-ea"/>
              <a:cs typeface="+mn-cs"/>
            </a:rPr>
            <a:t>the Spend-based method? </a:t>
          </a:r>
        </a:p>
      </xdr:txBody>
    </xdr:sp>
    <xdr:clientData/>
  </xdr:twoCellAnchor>
  <xdr:twoCellAnchor>
    <xdr:from>
      <xdr:col>11</xdr:col>
      <xdr:colOff>337042</xdr:colOff>
      <xdr:row>63</xdr:row>
      <xdr:rowOff>136151</xdr:rowOff>
    </xdr:from>
    <xdr:to>
      <xdr:col>13</xdr:col>
      <xdr:colOff>103401</xdr:colOff>
      <xdr:row>65</xdr:row>
      <xdr:rowOff>21851</xdr:rowOff>
    </xdr:to>
    <xdr:sp macro="" textlink="">
      <xdr:nvSpPr>
        <xdr:cNvPr id="8" name="순서도: 수행의 시작/종료 7">
          <a:extLst>
            <a:ext uri="{FF2B5EF4-FFF2-40B4-BE49-F238E27FC236}">
              <a16:creationId xmlns:a16="http://schemas.microsoft.com/office/drawing/2014/main" xmlns="" id="{A302A992-6CF3-4BA9-A147-C925C07ACC05}"/>
            </a:ext>
          </a:extLst>
        </xdr:cNvPr>
        <xdr:cNvSpPr/>
      </xdr:nvSpPr>
      <xdr:spPr>
        <a:xfrm>
          <a:off x="6545101" y="13179798"/>
          <a:ext cx="1133476" cy="311524"/>
        </a:xfrm>
        <a:prstGeom prst="flowChartTerminato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100">
              <a:solidFill>
                <a:schemeClr val="tx1"/>
              </a:solidFill>
            </a:rPr>
            <a:t>End</a:t>
          </a:r>
          <a:endParaRPr lang="ko-KR" altLang="en-US" sz="1100">
            <a:solidFill>
              <a:schemeClr val="tx1"/>
            </a:solidFill>
          </a:endParaRPr>
        </a:p>
      </xdr:txBody>
    </xdr:sp>
    <xdr:clientData/>
  </xdr:twoCellAnchor>
  <xdr:twoCellAnchor>
    <xdr:from>
      <xdr:col>6</xdr:col>
      <xdr:colOff>167246</xdr:colOff>
      <xdr:row>35</xdr:row>
      <xdr:rowOff>145677</xdr:rowOff>
    </xdr:from>
    <xdr:to>
      <xdr:col>8</xdr:col>
      <xdr:colOff>519672</xdr:colOff>
      <xdr:row>38</xdr:row>
      <xdr:rowOff>11207</xdr:rowOff>
    </xdr:to>
    <xdr:sp macro="" textlink="">
      <xdr:nvSpPr>
        <xdr:cNvPr id="9" name="직사각형 8">
          <a:hlinkClick xmlns:r="http://schemas.openxmlformats.org/officeDocument/2006/relationships" r:id="rId4"/>
          <a:extLst>
            <a:ext uri="{FF2B5EF4-FFF2-40B4-BE49-F238E27FC236}">
              <a16:creationId xmlns:a16="http://schemas.microsoft.com/office/drawing/2014/main" xmlns="" id="{3E3129E7-B1E4-4A00-B904-0D2F8F73A792}"/>
            </a:ext>
          </a:extLst>
        </xdr:cNvPr>
        <xdr:cNvSpPr/>
      </xdr:nvSpPr>
      <xdr:spPr>
        <a:xfrm>
          <a:off x="2823040" y="7227795"/>
          <a:ext cx="1854014" cy="504265"/>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200">
              <a:solidFill>
                <a:schemeClr val="tx1"/>
              </a:solidFill>
            </a:rPr>
            <a:t>Product</a:t>
          </a:r>
          <a:endParaRPr lang="ko-KR" altLang="en-US" sz="1200">
            <a:solidFill>
              <a:schemeClr val="tx1"/>
            </a:solidFill>
          </a:endParaRPr>
        </a:p>
      </xdr:txBody>
    </xdr:sp>
    <xdr:clientData/>
  </xdr:twoCellAnchor>
  <xdr:twoCellAnchor>
    <xdr:from>
      <xdr:col>5</xdr:col>
      <xdr:colOff>109537</xdr:colOff>
      <xdr:row>31</xdr:row>
      <xdr:rowOff>180975</xdr:rowOff>
    </xdr:from>
    <xdr:to>
      <xdr:col>7</xdr:col>
      <xdr:colOff>343459</xdr:colOff>
      <xdr:row>35</xdr:row>
      <xdr:rowOff>145677</xdr:rowOff>
    </xdr:to>
    <xdr:cxnSp macro="">
      <xdr:nvCxnSpPr>
        <xdr:cNvPr id="10" name="연결선: 꺾임 9">
          <a:extLst>
            <a:ext uri="{FF2B5EF4-FFF2-40B4-BE49-F238E27FC236}">
              <a16:creationId xmlns:a16="http://schemas.microsoft.com/office/drawing/2014/main" xmlns="" id="{D82AACD1-E316-4CA8-B115-2AAAA70EBE5B}"/>
            </a:ext>
          </a:extLst>
        </xdr:cNvPr>
        <xdr:cNvCxnSpPr>
          <a:stCxn id="7" idx="3"/>
          <a:endCxn id="9" idx="0"/>
        </xdr:cNvCxnSpPr>
      </xdr:nvCxnSpPr>
      <xdr:spPr>
        <a:xfrm>
          <a:off x="3576637" y="7591425"/>
          <a:ext cx="1605522" cy="80290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36978</xdr:colOff>
      <xdr:row>41</xdr:row>
      <xdr:rowOff>15128</xdr:rowOff>
    </xdr:from>
    <xdr:to>
      <xdr:col>8</xdr:col>
      <xdr:colOff>649941</xdr:colOff>
      <xdr:row>44</xdr:row>
      <xdr:rowOff>33617</xdr:rowOff>
    </xdr:to>
    <xdr:sp macro="" textlink="">
      <xdr:nvSpPr>
        <xdr:cNvPr id="11" name="순서도: 판단 10">
          <a:extLst>
            <a:ext uri="{FF2B5EF4-FFF2-40B4-BE49-F238E27FC236}">
              <a16:creationId xmlns:a16="http://schemas.microsoft.com/office/drawing/2014/main" xmlns="" id="{B6977AEF-A814-43AB-9B41-827B678E2534}"/>
            </a:ext>
          </a:extLst>
        </xdr:cNvPr>
        <xdr:cNvSpPr/>
      </xdr:nvSpPr>
      <xdr:spPr>
        <a:xfrm>
          <a:off x="2692772" y="8374716"/>
          <a:ext cx="2114551" cy="657225"/>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lnSpc>
              <a:spcPts val="1200"/>
            </a:lnSpc>
          </a:pPr>
          <a:r>
            <a:rPr lang="en-US" altLang="ko-KR" sz="1100" baseline="0">
              <a:solidFill>
                <a:schemeClr val="tx1"/>
              </a:solidFill>
              <a:latin typeface="+mn-lt"/>
              <a:ea typeface="+mn-ea"/>
              <a:cs typeface="+mn-cs"/>
            </a:rPr>
            <a:t>Do you have </a:t>
          </a:r>
        </a:p>
        <a:p>
          <a:pPr marL="0" indent="0" algn="ctr">
            <a:lnSpc>
              <a:spcPts val="1200"/>
            </a:lnSpc>
          </a:pPr>
          <a:r>
            <a:rPr lang="en-US" altLang="ko-KR" sz="1100" baseline="0">
              <a:solidFill>
                <a:schemeClr val="tx1"/>
              </a:solidFill>
              <a:latin typeface="+mn-lt"/>
              <a:ea typeface="+mn-ea"/>
              <a:cs typeface="+mn-cs"/>
            </a:rPr>
            <a:t>PCF* data for all your </a:t>
          </a:r>
        </a:p>
        <a:p>
          <a:pPr marL="0" indent="0" algn="ctr">
            <a:lnSpc>
              <a:spcPts val="1200"/>
            </a:lnSpc>
          </a:pPr>
          <a:r>
            <a:rPr lang="en-US" altLang="ko-KR" sz="1100" baseline="0">
              <a:solidFill>
                <a:schemeClr val="tx1"/>
              </a:solidFill>
              <a:latin typeface="+mn-lt"/>
              <a:ea typeface="+mn-ea"/>
              <a:cs typeface="+mn-cs"/>
            </a:rPr>
            <a:t>products for Samsung Biologics?</a:t>
          </a:r>
          <a:endParaRPr lang="ko-KR" altLang="en-US" sz="1100" baseline="0">
            <a:solidFill>
              <a:schemeClr val="tx1"/>
            </a:solidFill>
            <a:latin typeface="+mn-lt"/>
            <a:ea typeface="+mn-ea"/>
            <a:cs typeface="+mn-cs"/>
          </a:endParaRPr>
        </a:p>
      </xdr:txBody>
    </xdr:sp>
    <xdr:clientData/>
  </xdr:twoCellAnchor>
  <xdr:oneCellAnchor>
    <xdr:from>
      <xdr:col>3</xdr:col>
      <xdr:colOff>459441</xdr:colOff>
      <xdr:row>33</xdr:row>
      <xdr:rowOff>50987</xdr:rowOff>
    </xdr:from>
    <xdr:ext cx="426384" cy="264560"/>
    <xdr:sp macro="" textlink="">
      <xdr:nvSpPr>
        <xdr:cNvPr id="15" name="TextBox 14">
          <a:extLst>
            <a:ext uri="{FF2B5EF4-FFF2-40B4-BE49-F238E27FC236}">
              <a16:creationId xmlns:a16="http://schemas.microsoft.com/office/drawing/2014/main" xmlns="" id="{649B2599-E922-4866-9FC5-6137CB50BE1D}"/>
            </a:ext>
          </a:extLst>
        </xdr:cNvPr>
        <xdr:cNvSpPr txBox="1"/>
      </xdr:nvSpPr>
      <xdr:spPr>
        <a:xfrm>
          <a:off x="2421591" y="7880537"/>
          <a:ext cx="426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a:t>No</a:t>
          </a:r>
          <a:r>
            <a:rPr lang="en-US" altLang="ko-KR" sz="1100" baseline="0"/>
            <a:t> </a:t>
          </a:r>
          <a:endParaRPr lang="ko-KR" altLang="en-US" sz="1100"/>
        </a:p>
      </xdr:txBody>
    </xdr:sp>
    <xdr:clientData/>
  </xdr:oneCellAnchor>
  <xdr:oneCellAnchor>
    <xdr:from>
      <xdr:col>5</xdr:col>
      <xdr:colOff>190500</xdr:colOff>
      <xdr:row>31</xdr:row>
      <xdr:rowOff>152400</xdr:rowOff>
    </xdr:from>
    <xdr:ext cx="378758" cy="264560"/>
    <xdr:sp macro="" textlink="">
      <xdr:nvSpPr>
        <xdr:cNvPr id="16" name="TextBox 15">
          <a:extLst>
            <a:ext uri="{FF2B5EF4-FFF2-40B4-BE49-F238E27FC236}">
              <a16:creationId xmlns:a16="http://schemas.microsoft.com/office/drawing/2014/main" xmlns="" id="{EDD4C87A-133D-419C-830C-C893EC707B17}"/>
            </a:ext>
          </a:extLst>
        </xdr:cNvPr>
        <xdr:cNvSpPr txBox="1"/>
      </xdr:nvSpPr>
      <xdr:spPr>
        <a:xfrm>
          <a:off x="3657600" y="7562850"/>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Yes</a:t>
          </a:r>
          <a:endParaRPr lang="ko-KR" altLang="en-US" sz="1100"/>
        </a:p>
      </xdr:txBody>
    </xdr:sp>
    <xdr:clientData/>
  </xdr:oneCellAnchor>
  <xdr:twoCellAnchor>
    <xdr:from>
      <xdr:col>11</xdr:col>
      <xdr:colOff>39780</xdr:colOff>
      <xdr:row>45</xdr:row>
      <xdr:rowOff>164727</xdr:rowOff>
    </xdr:from>
    <xdr:to>
      <xdr:col>13</xdr:col>
      <xdr:colOff>400663</xdr:colOff>
      <xdr:row>47</xdr:row>
      <xdr:rowOff>202828</xdr:rowOff>
    </xdr:to>
    <xdr:sp macro="" textlink="">
      <xdr:nvSpPr>
        <xdr:cNvPr id="18" name="직사각형 17">
          <a:hlinkClick xmlns:r="http://schemas.openxmlformats.org/officeDocument/2006/relationships" r:id="rId5"/>
          <a:extLst>
            <a:ext uri="{FF2B5EF4-FFF2-40B4-BE49-F238E27FC236}">
              <a16:creationId xmlns:a16="http://schemas.microsoft.com/office/drawing/2014/main" xmlns="" id="{8B606372-184D-4A5B-9D4B-CD2510E4E25A}"/>
            </a:ext>
          </a:extLst>
        </xdr:cNvPr>
        <xdr:cNvSpPr/>
      </xdr:nvSpPr>
      <xdr:spPr>
        <a:xfrm>
          <a:off x="6247839" y="9375962"/>
          <a:ext cx="1728000" cy="463925"/>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ctr"/>
        <a:lstStyle/>
        <a:p>
          <a:pPr algn="ctr"/>
          <a:r>
            <a:rPr lang="en-US" altLang="ko-KR" sz="1200">
              <a:solidFill>
                <a:schemeClr val="tx1"/>
              </a:solidFill>
            </a:rPr>
            <a:t>Hybrid</a:t>
          </a:r>
        </a:p>
      </xdr:txBody>
    </xdr:sp>
    <xdr:clientData/>
  </xdr:twoCellAnchor>
  <xdr:twoCellAnchor>
    <xdr:from>
      <xdr:col>8</xdr:col>
      <xdr:colOff>649941</xdr:colOff>
      <xdr:row>42</xdr:row>
      <xdr:rowOff>129148</xdr:rowOff>
    </xdr:from>
    <xdr:to>
      <xdr:col>12</xdr:col>
      <xdr:colOff>220222</xdr:colOff>
      <xdr:row>45</xdr:row>
      <xdr:rowOff>164727</xdr:rowOff>
    </xdr:to>
    <xdr:cxnSp macro="">
      <xdr:nvCxnSpPr>
        <xdr:cNvPr id="30" name="연결선: 꺾임 29">
          <a:extLst>
            <a:ext uri="{FF2B5EF4-FFF2-40B4-BE49-F238E27FC236}">
              <a16:creationId xmlns:a16="http://schemas.microsoft.com/office/drawing/2014/main" xmlns="" id="{02231E71-3F0C-4974-B31F-D43326E99E01}"/>
            </a:ext>
          </a:extLst>
        </xdr:cNvPr>
        <xdr:cNvCxnSpPr>
          <a:stCxn id="11" idx="3"/>
          <a:endCxn id="18" idx="0"/>
        </xdr:cNvCxnSpPr>
      </xdr:nvCxnSpPr>
      <xdr:spPr>
        <a:xfrm>
          <a:off x="6174441" y="9844648"/>
          <a:ext cx="2313481" cy="66422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685239</xdr:colOff>
      <xdr:row>11</xdr:row>
      <xdr:rowOff>57150</xdr:rowOff>
    </xdr:from>
    <xdr:to>
      <xdr:col>2</xdr:col>
      <xdr:colOff>689442</xdr:colOff>
      <xdr:row>12</xdr:row>
      <xdr:rowOff>142875</xdr:rowOff>
    </xdr:to>
    <xdr:cxnSp macro="">
      <xdr:nvCxnSpPr>
        <xdr:cNvPr id="34" name="직선 화살표 연결선 33">
          <a:extLst>
            <a:ext uri="{FF2B5EF4-FFF2-40B4-BE49-F238E27FC236}">
              <a16:creationId xmlns:a16="http://schemas.microsoft.com/office/drawing/2014/main" xmlns="" id="{4D57E348-250E-485C-A48F-600E899212CD}"/>
            </a:ext>
          </a:extLst>
        </xdr:cNvPr>
        <xdr:cNvCxnSpPr>
          <a:stCxn id="2" idx="2"/>
          <a:endCxn id="3" idx="0"/>
        </xdr:cNvCxnSpPr>
      </xdr:nvCxnSpPr>
      <xdr:spPr>
        <a:xfrm flipH="1">
          <a:off x="1178298" y="3228415"/>
          <a:ext cx="4203" cy="29863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685800</xdr:colOff>
      <xdr:row>14</xdr:row>
      <xdr:rowOff>180975</xdr:rowOff>
    </xdr:from>
    <xdr:to>
      <xdr:col>2</xdr:col>
      <xdr:colOff>685800</xdr:colOff>
      <xdr:row>16</xdr:row>
      <xdr:rowOff>114300</xdr:rowOff>
    </xdr:to>
    <xdr:cxnSp macro="">
      <xdr:nvCxnSpPr>
        <xdr:cNvPr id="35" name="직선 화살표 연결선 34">
          <a:extLst>
            <a:ext uri="{FF2B5EF4-FFF2-40B4-BE49-F238E27FC236}">
              <a16:creationId xmlns:a16="http://schemas.microsoft.com/office/drawing/2014/main" xmlns="" id="{2CB4B91F-4DAE-4E52-9D30-9901846A5E2C}"/>
            </a:ext>
          </a:extLst>
        </xdr:cNvPr>
        <xdr:cNvCxnSpPr>
          <a:stCxn id="3" idx="2"/>
          <a:endCxn id="5" idx="0"/>
        </xdr:cNvCxnSpPr>
      </xdr:nvCxnSpPr>
      <xdr:spPr>
        <a:xfrm>
          <a:off x="1171575" y="3952875"/>
          <a:ext cx="0" cy="352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685800</xdr:colOff>
      <xdr:row>18</xdr:row>
      <xdr:rowOff>152400</xdr:rowOff>
    </xdr:from>
    <xdr:to>
      <xdr:col>2</xdr:col>
      <xdr:colOff>685800</xdr:colOff>
      <xdr:row>19</xdr:row>
      <xdr:rowOff>181536</xdr:rowOff>
    </xdr:to>
    <xdr:cxnSp macro="">
      <xdr:nvCxnSpPr>
        <xdr:cNvPr id="36" name="직선 화살표 연결선 35">
          <a:extLst>
            <a:ext uri="{FF2B5EF4-FFF2-40B4-BE49-F238E27FC236}">
              <a16:creationId xmlns:a16="http://schemas.microsoft.com/office/drawing/2014/main" xmlns="" id="{44337DBF-FF3C-4D7A-92FD-DE29858215A8}"/>
            </a:ext>
          </a:extLst>
        </xdr:cNvPr>
        <xdr:cNvCxnSpPr>
          <a:stCxn id="5" idx="2"/>
          <a:endCxn id="4" idx="0"/>
        </xdr:cNvCxnSpPr>
      </xdr:nvCxnSpPr>
      <xdr:spPr>
        <a:xfrm>
          <a:off x="1171575" y="4762500"/>
          <a:ext cx="0" cy="31488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685800</xdr:colOff>
      <xdr:row>22</xdr:row>
      <xdr:rowOff>10086</xdr:rowOff>
    </xdr:from>
    <xdr:to>
      <xdr:col>2</xdr:col>
      <xdr:colOff>685800</xdr:colOff>
      <xdr:row>25</xdr:row>
      <xdr:rowOff>0</xdr:rowOff>
    </xdr:to>
    <xdr:cxnSp macro="">
      <xdr:nvCxnSpPr>
        <xdr:cNvPr id="37" name="직선 화살표 연결선 36">
          <a:extLst>
            <a:ext uri="{FF2B5EF4-FFF2-40B4-BE49-F238E27FC236}">
              <a16:creationId xmlns:a16="http://schemas.microsoft.com/office/drawing/2014/main" xmlns="" id="{4267F766-FABF-48A0-8A8F-95822815BB0A}"/>
            </a:ext>
          </a:extLst>
        </xdr:cNvPr>
        <xdr:cNvCxnSpPr>
          <a:cxnSpLocks/>
          <a:stCxn id="4" idx="2"/>
          <a:endCxn id="14" idx="0"/>
        </xdr:cNvCxnSpPr>
      </xdr:nvCxnSpPr>
      <xdr:spPr>
        <a:xfrm>
          <a:off x="1171575" y="5534586"/>
          <a:ext cx="0" cy="61856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190500</xdr:colOff>
      <xdr:row>12</xdr:row>
      <xdr:rowOff>190500</xdr:rowOff>
    </xdr:from>
    <xdr:ext cx="1066800" cy="264560"/>
    <xdr:sp macro="" textlink="">
      <xdr:nvSpPr>
        <xdr:cNvPr id="39" name="TextBox 38">
          <a:extLst>
            <a:ext uri="{FF2B5EF4-FFF2-40B4-BE49-F238E27FC236}">
              <a16:creationId xmlns:a16="http://schemas.microsoft.com/office/drawing/2014/main" xmlns="" id="{FD6EE1F3-8077-4E61-80CB-69D7F3E7BA2B}"/>
            </a:ext>
          </a:extLst>
        </xdr:cNvPr>
        <xdr:cNvSpPr txBox="1"/>
      </xdr:nvSpPr>
      <xdr:spPr>
        <a:xfrm>
          <a:off x="2152650" y="3543300"/>
          <a:ext cx="1066800" cy="264560"/>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100" b="1">
              <a:solidFill>
                <a:schemeClr val="bg1"/>
              </a:solidFill>
            </a:rPr>
            <a:t>Required</a:t>
          </a:r>
          <a:endParaRPr lang="ko-KR" altLang="en-US" sz="1100" b="1">
            <a:solidFill>
              <a:schemeClr val="bg1"/>
            </a:solidFill>
          </a:endParaRPr>
        </a:p>
      </xdr:txBody>
    </xdr:sp>
    <xdr:clientData/>
  </xdr:oneCellAnchor>
  <xdr:oneCellAnchor>
    <xdr:from>
      <xdr:col>3</xdr:col>
      <xdr:colOff>190500</xdr:colOff>
      <xdr:row>16</xdr:row>
      <xdr:rowOff>192742</xdr:rowOff>
    </xdr:from>
    <xdr:ext cx="1066800" cy="264560"/>
    <xdr:sp macro="" textlink="">
      <xdr:nvSpPr>
        <xdr:cNvPr id="40" name="TextBox 39">
          <a:extLst>
            <a:ext uri="{FF2B5EF4-FFF2-40B4-BE49-F238E27FC236}">
              <a16:creationId xmlns:a16="http://schemas.microsoft.com/office/drawing/2014/main" xmlns="" id="{9E65DD49-2D45-475A-9061-582349537D83}"/>
            </a:ext>
          </a:extLst>
        </xdr:cNvPr>
        <xdr:cNvSpPr txBox="1"/>
      </xdr:nvSpPr>
      <xdr:spPr>
        <a:xfrm>
          <a:off x="2162735" y="4428566"/>
          <a:ext cx="1066800" cy="264560"/>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100" b="1">
              <a:solidFill>
                <a:schemeClr val="bg1"/>
              </a:solidFill>
              <a:effectLst/>
              <a:latin typeface="+mn-lt"/>
              <a:ea typeface="+mn-ea"/>
              <a:cs typeface="+mn-cs"/>
            </a:rPr>
            <a:t>Required</a:t>
          </a:r>
          <a:endParaRPr lang="ko-KR" altLang="en-US" sz="1100" b="1">
            <a:solidFill>
              <a:schemeClr val="bg1"/>
            </a:solidFill>
          </a:endParaRPr>
        </a:p>
      </xdr:txBody>
    </xdr:sp>
    <xdr:clientData/>
  </xdr:oneCellAnchor>
  <xdr:oneCellAnchor>
    <xdr:from>
      <xdr:col>3</xdr:col>
      <xdr:colOff>190500</xdr:colOff>
      <xdr:row>20</xdr:row>
      <xdr:rowOff>9525</xdr:rowOff>
    </xdr:from>
    <xdr:ext cx="1066800" cy="264560"/>
    <xdr:sp macro="" textlink="">
      <xdr:nvSpPr>
        <xdr:cNvPr id="41" name="TextBox 40">
          <a:extLst>
            <a:ext uri="{FF2B5EF4-FFF2-40B4-BE49-F238E27FC236}">
              <a16:creationId xmlns:a16="http://schemas.microsoft.com/office/drawing/2014/main" xmlns="" id="{2519E3E7-9619-43D9-AF10-B0412281E12A}"/>
            </a:ext>
          </a:extLst>
        </xdr:cNvPr>
        <xdr:cNvSpPr txBox="1"/>
      </xdr:nvSpPr>
      <xdr:spPr>
        <a:xfrm>
          <a:off x="2152650" y="5038725"/>
          <a:ext cx="1066800" cy="264560"/>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100" b="1">
              <a:solidFill>
                <a:schemeClr val="bg1"/>
              </a:solidFill>
              <a:effectLst/>
              <a:latin typeface="+mn-lt"/>
              <a:ea typeface="+mn-ea"/>
              <a:cs typeface="+mn-cs"/>
            </a:rPr>
            <a:t>Required</a:t>
          </a:r>
          <a:endParaRPr lang="ko-KR" altLang="en-US" sz="1100" b="1">
            <a:solidFill>
              <a:schemeClr val="bg1"/>
            </a:solidFill>
          </a:endParaRPr>
        </a:p>
      </xdr:txBody>
    </xdr:sp>
    <xdr:clientData/>
  </xdr:oneCellAnchor>
  <xdr:oneCellAnchor>
    <xdr:from>
      <xdr:col>9</xdr:col>
      <xdr:colOff>100851</xdr:colOff>
      <xdr:row>36</xdr:row>
      <xdr:rowOff>43143</xdr:rowOff>
    </xdr:from>
    <xdr:ext cx="1066800" cy="264560"/>
    <xdr:sp macro="" textlink="">
      <xdr:nvSpPr>
        <xdr:cNvPr id="58" name="TextBox 57">
          <a:extLst>
            <a:ext uri="{FF2B5EF4-FFF2-40B4-BE49-F238E27FC236}">
              <a16:creationId xmlns:a16="http://schemas.microsoft.com/office/drawing/2014/main" xmlns="" id="{D6444D4F-993E-55C4-A918-D8B1895861F9}"/>
            </a:ext>
          </a:extLst>
        </xdr:cNvPr>
        <xdr:cNvSpPr txBox="1"/>
      </xdr:nvSpPr>
      <xdr:spPr>
        <a:xfrm>
          <a:off x="4941792" y="7338172"/>
          <a:ext cx="1066800" cy="264560"/>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100" b="1">
              <a:solidFill>
                <a:schemeClr val="bg1"/>
              </a:solidFill>
              <a:effectLst/>
              <a:latin typeface="+mn-lt"/>
              <a:ea typeface="+mn-ea"/>
              <a:cs typeface="+mn-cs"/>
            </a:rPr>
            <a:t>Required</a:t>
          </a:r>
          <a:endParaRPr lang="ko-KR" altLang="en-US" sz="1100" b="1">
            <a:solidFill>
              <a:schemeClr val="bg1"/>
            </a:solidFill>
          </a:endParaRPr>
        </a:p>
      </xdr:txBody>
    </xdr:sp>
    <xdr:clientData/>
  </xdr:oneCellAnchor>
  <xdr:oneCellAnchor>
    <xdr:from>
      <xdr:col>6</xdr:col>
      <xdr:colOff>642096</xdr:colOff>
      <xdr:row>44</xdr:row>
      <xdr:rowOff>30815</xdr:rowOff>
    </xdr:from>
    <xdr:ext cx="378758" cy="264560"/>
    <xdr:sp macro="" textlink="">
      <xdr:nvSpPr>
        <xdr:cNvPr id="66" name="TextBox 65">
          <a:extLst>
            <a:ext uri="{FF2B5EF4-FFF2-40B4-BE49-F238E27FC236}">
              <a16:creationId xmlns:a16="http://schemas.microsoft.com/office/drawing/2014/main" xmlns="" id="{61CD92C7-C049-2991-2851-88224907365E}"/>
            </a:ext>
          </a:extLst>
        </xdr:cNvPr>
        <xdr:cNvSpPr txBox="1"/>
      </xdr:nvSpPr>
      <xdr:spPr>
        <a:xfrm>
          <a:off x="4794996" y="10165415"/>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Yes</a:t>
          </a:r>
          <a:endParaRPr lang="ko-KR" altLang="en-US" sz="1100"/>
        </a:p>
      </xdr:txBody>
    </xdr:sp>
    <xdr:clientData/>
  </xdr:oneCellAnchor>
  <xdr:oneCellAnchor>
    <xdr:from>
      <xdr:col>9</xdr:col>
      <xdr:colOff>109202</xdr:colOff>
      <xdr:row>42</xdr:row>
      <xdr:rowOff>120463</xdr:rowOff>
    </xdr:from>
    <xdr:ext cx="440477" cy="264560"/>
    <xdr:sp macro="" textlink="">
      <xdr:nvSpPr>
        <xdr:cNvPr id="67" name="TextBox 66">
          <a:extLst>
            <a:ext uri="{FF2B5EF4-FFF2-40B4-BE49-F238E27FC236}">
              <a16:creationId xmlns:a16="http://schemas.microsoft.com/office/drawing/2014/main" xmlns="" id="{75575CA7-D81C-BDC1-3C09-21A0C0CAB282}"/>
            </a:ext>
          </a:extLst>
        </xdr:cNvPr>
        <xdr:cNvSpPr txBox="1"/>
      </xdr:nvSpPr>
      <xdr:spPr>
        <a:xfrm>
          <a:off x="6319502" y="9835963"/>
          <a:ext cx="4404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a:t>No</a:t>
          </a:r>
          <a:r>
            <a:rPr lang="en-US" altLang="ko-KR" sz="1100" baseline="0"/>
            <a:t> </a:t>
          </a:r>
          <a:endParaRPr lang="ko-KR" altLang="en-US" sz="1100"/>
        </a:p>
      </xdr:txBody>
    </xdr:sp>
    <xdr:clientData/>
  </xdr:oneCellAnchor>
  <xdr:twoCellAnchor>
    <xdr:from>
      <xdr:col>7</xdr:col>
      <xdr:colOff>333379</xdr:colOff>
      <xdr:row>44</xdr:row>
      <xdr:rowOff>28577</xdr:rowOff>
    </xdr:from>
    <xdr:to>
      <xdr:col>12</xdr:col>
      <xdr:colOff>220223</xdr:colOff>
      <xdr:row>63</xdr:row>
      <xdr:rowOff>136150</xdr:rowOff>
    </xdr:to>
    <xdr:cxnSp macro="">
      <xdr:nvCxnSpPr>
        <xdr:cNvPr id="70" name="연결선: 꺾임 69">
          <a:extLst>
            <a:ext uri="{FF2B5EF4-FFF2-40B4-BE49-F238E27FC236}">
              <a16:creationId xmlns:a16="http://schemas.microsoft.com/office/drawing/2014/main" xmlns="" id="{CF37E998-088F-FF0F-C6A4-2ED1B4A69267}"/>
            </a:ext>
          </a:extLst>
        </xdr:cNvPr>
        <xdr:cNvCxnSpPr>
          <a:endCxn id="8" idx="0"/>
        </xdr:cNvCxnSpPr>
      </xdr:nvCxnSpPr>
      <xdr:spPr>
        <a:xfrm rot="16200000" flipH="1">
          <a:off x="4785489" y="10549767"/>
          <a:ext cx="4089023" cy="331584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67235</xdr:colOff>
      <xdr:row>45</xdr:row>
      <xdr:rowOff>211230</xdr:rowOff>
    </xdr:from>
    <xdr:ext cx="1066800" cy="264560"/>
    <xdr:sp macro="" textlink="">
      <xdr:nvSpPr>
        <xdr:cNvPr id="76" name="TextBox 75">
          <a:extLst>
            <a:ext uri="{FF2B5EF4-FFF2-40B4-BE49-F238E27FC236}">
              <a16:creationId xmlns:a16="http://schemas.microsoft.com/office/drawing/2014/main" xmlns="" id="{36D139E6-1CC3-2B13-CDAF-F807EE572F34}"/>
            </a:ext>
          </a:extLst>
        </xdr:cNvPr>
        <xdr:cNvSpPr txBox="1"/>
      </xdr:nvSpPr>
      <xdr:spPr>
        <a:xfrm>
          <a:off x="8325970" y="9422465"/>
          <a:ext cx="1066800" cy="264560"/>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100" b="1">
              <a:solidFill>
                <a:schemeClr val="bg1"/>
              </a:solidFill>
              <a:effectLst/>
              <a:latin typeface="+mn-lt"/>
              <a:ea typeface="+mn-ea"/>
              <a:cs typeface="+mn-cs"/>
            </a:rPr>
            <a:t>Required</a:t>
          </a:r>
          <a:endParaRPr lang="ko-KR" altLang="en-US" sz="1100" b="1">
            <a:solidFill>
              <a:schemeClr val="bg1"/>
            </a:solidFill>
          </a:endParaRPr>
        </a:p>
      </xdr:txBody>
    </xdr:sp>
    <xdr:clientData/>
  </xdr:oneCellAnchor>
  <xdr:twoCellAnchor>
    <xdr:from>
      <xdr:col>4</xdr:col>
      <xdr:colOff>152401</xdr:colOff>
      <xdr:row>33</xdr:row>
      <xdr:rowOff>114299</xdr:rowOff>
    </xdr:from>
    <xdr:to>
      <xdr:col>12</xdr:col>
      <xdr:colOff>220223</xdr:colOff>
      <xdr:row>63</xdr:row>
      <xdr:rowOff>136150</xdr:rowOff>
    </xdr:to>
    <xdr:cxnSp macro="">
      <xdr:nvCxnSpPr>
        <xdr:cNvPr id="86" name="연결선: 꺾임 85">
          <a:extLst>
            <a:ext uri="{FF2B5EF4-FFF2-40B4-BE49-F238E27FC236}">
              <a16:creationId xmlns:a16="http://schemas.microsoft.com/office/drawing/2014/main" xmlns="" id="{7781E7E6-B4A4-6275-68A1-4957D25F4F6C}"/>
            </a:ext>
          </a:extLst>
        </xdr:cNvPr>
        <xdr:cNvCxnSpPr>
          <a:stCxn id="7" idx="2"/>
          <a:endCxn id="8" idx="0"/>
        </xdr:cNvCxnSpPr>
      </xdr:nvCxnSpPr>
      <xdr:spPr>
        <a:xfrm rot="16200000" flipH="1">
          <a:off x="2489961" y="8254239"/>
          <a:ext cx="6308351" cy="5687572"/>
        </a:xfrm>
        <a:prstGeom prst="bentConnector3">
          <a:avLst>
            <a:gd name="adj1" fmla="val 7370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220221</xdr:colOff>
      <xdr:row>47</xdr:row>
      <xdr:rowOff>202828</xdr:rowOff>
    </xdr:from>
    <xdr:to>
      <xdr:col>12</xdr:col>
      <xdr:colOff>220221</xdr:colOff>
      <xdr:row>63</xdr:row>
      <xdr:rowOff>136151</xdr:rowOff>
    </xdr:to>
    <xdr:cxnSp macro="">
      <xdr:nvCxnSpPr>
        <xdr:cNvPr id="95" name="직선 화살표 연결선 94">
          <a:extLst>
            <a:ext uri="{FF2B5EF4-FFF2-40B4-BE49-F238E27FC236}">
              <a16:creationId xmlns:a16="http://schemas.microsoft.com/office/drawing/2014/main" xmlns="" id="{48A34973-7D37-4521-6FF4-75EF8D5F7E2D}"/>
            </a:ext>
          </a:extLst>
        </xdr:cNvPr>
        <xdr:cNvCxnSpPr>
          <a:cxnSpLocks/>
          <a:stCxn id="18" idx="2"/>
          <a:endCxn id="8" idx="0"/>
        </xdr:cNvCxnSpPr>
      </xdr:nvCxnSpPr>
      <xdr:spPr>
        <a:xfrm>
          <a:off x="7111839" y="9839887"/>
          <a:ext cx="0" cy="33399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343459</xdr:colOff>
      <xdr:row>38</xdr:row>
      <xdr:rowOff>11207</xdr:rowOff>
    </xdr:from>
    <xdr:to>
      <xdr:col>7</xdr:col>
      <xdr:colOff>343460</xdr:colOff>
      <xdr:row>41</xdr:row>
      <xdr:rowOff>15128</xdr:rowOff>
    </xdr:to>
    <xdr:cxnSp macro="">
      <xdr:nvCxnSpPr>
        <xdr:cNvPr id="17" name="직선 화살표 연결선 16">
          <a:extLst>
            <a:ext uri="{FF2B5EF4-FFF2-40B4-BE49-F238E27FC236}">
              <a16:creationId xmlns:a16="http://schemas.microsoft.com/office/drawing/2014/main" xmlns="" id="{BFE755EB-BD4F-6D81-4993-D0D7DFDB54AD}"/>
            </a:ext>
          </a:extLst>
        </xdr:cNvPr>
        <xdr:cNvCxnSpPr>
          <a:cxnSpLocks/>
          <a:stCxn id="9" idx="2"/>
          <a:endCxn id="11" idx="0"/>
        </xdr:cNvCxnSpPr>
      </xdr:nvCxnSpPr>
      <xdr:spPr>
        <a:xfrm>
          <a:off x="5182159" y="8888507"/>
          <a:ext cx="1" cy="6325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185737</xdr:colOff>
      <xdr:row>25</xdr:row>
      <xdr:rowOff>0</xdr:rowOff>
    </xdr:from>
    <xdr:to>
      <xdr:col>2</xdr:col>
      <xdr:colOff>1462087</xdr:colOff>
      <xdr:row>28</xdr:row>
      <xdr:rowOff>76200</xdr:rowOff>
    </xdr:to>
    <xdr:sp macro="" textlink="">
      <xdr:nvSpPr>
        <xdr:cNvPr id="14" name="순서도: 판단 13">
          <a:extLst>
            <a:ext uri="{FF2B5EF4-FFF2-40B4-BE49-F238E27FC236}">
              <a16:creationId xmlns:a16="http://schemas.microsoft.com/office/drawing/2014/main" xmlns="" id="{8B55DDAD-6176-CC99-1869-36AB16935C2D}"/>
            </a:ext>
          </a:extLst>
        </xdr:cNvPr>
        <xdr:cNvSpPr/>
      </xdr:nvSpPr>
      <xdr:spPr>
        <a:xfrm>
          <a:off x="395287" y="6153150"/>
          <a:ext cx="1552575" cy="704850"/>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lnSpc>
              <a:spcPts val="1200"/>
            </a:lnSpc>
          </a:pPr>
          <a:r>
            <a:rPr lang="en-US" altLang="ko-KR" sz="1100" baseline="0">
              <a:solidFill>
                <a:schemeClr val="tx1"/>
              </a:solidFill>
              <a:latin typeface="+mn-lt"/>
              <a:ea typeface="+mn-ea"/>
              <a:cs typeface="+mn-cs"/>
            </a:rPr>
            <a:t>Did you fill in your </a:t>
          </a:r>
        </a:p>
        <a:p>
          <a:pPr marL="0" indent="0" algn="ctr">
            <a:lnSpc>
              <a:spcPts val="1200"/>
            </a:lnSpc>
          </a:pPr>
          <a:r>
            <a:rPr lang="en-US" altLang="ko-KR" sz="1100" baseline="0">
              <a:solidFill>
                <a:schemeClr val="tx1"/>
              </a:solidFill>
              <a:latin typeface="+mn-lt"/>
              <a:ea typeface="+mn-ea"/>
              <a:cs typeface="+mn-cs"/>
            </a:rPr>
            <a:t>Scope 3 emissions* on</a:t>
          </a:r>
        </a:p>
        <a:p>
          <a:pPr marL="0" indent="0" algn="ctr">
            <a:lnSpc>
              <a:spcPts val="1200"/>
            </a:lnSpc>
          </a:pPr>
          <a:r>
            <a:rPr lang="en-US" altLang="ko-KR" sz="1100" baseline="0">
              <a:solidFill>
                <a:schemeClr val="tx1"/>
              </a:solidFill>
              <a:latin typeface="+mn-lt"/>
              <a:ea typeface="+mn-ea"/>
              <a:cs typeface="+mn-cs"/>
            </a:rPr>
            <a:t>"Emissions" sheet?</a:t>
          </a:r>
        </a:p>
      </xdr:txBody>
    </xdr:sp>
    <xdr:clientData/>
  </xdr:twoCellAnchor>
  <xdr:twoCellAnchor>
    <xdr:from>
      <xdr:col>2</xdr:col>
      <xdr:colOff>1462087</xdr:colOff>
      <xdr:row>26</xdr:row>
      <xdr:rowOff>142875</xdr:rowOff>
    </xdr:from>
    <xdr:to>
      <xdr:col>7</xdr:col>
      <xdr:colOff>343459</xdr:colOff>
      <xdr:row>35</xdr:row>
      <xdr:rowOff>145677</xdr:rowOff>
    </xdr:to>
    <xdr:cxnSp macro="">
      <xdr:nvCxnSpPr>
        <xdr:cNvPr id="20" name="연결선: 꺾임 19">
          <a:extLst>
            <a:ext uri="{FF2B5EF4-FFF2-40B4-BE49-F238E27FC236}">
              <a16:creationId xmlns:a16="http://schemas.microsoft.com/office/drawing/2014/main" xmlns="" id="{1895415B-CC83-5C41-0720-88B7E3D8ADEF}"/>
            </a:ext>
          </a:extLst>
        </xdr:cNvPr>
        <xdr:cNvCxnSpPr>
          <a:stCxn id="14" idx="3"/>
          <a:endCxn id="9" idx="0"/>
        </xdr:cNvCxnSpPr>
      </xdr:nvCxnSpPr>
      <xdr:spPr>
        <a:xfrm>
          <a:off x="1947862" y="6505575"/>
          <a:ext cx="3234297" cy="188875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685800</xdr:colOff>
      <xdr:row>28</xdr:row>
      <xdr:rowOff>76199</xdr:rowOff>
    </xdr:from>
    <xdr:to>
      <xdr:col>3</xdr:col>
      <xdr:colOff>61912</xdr:colOff>
      <xdr:row>31</xdr:row>
      <xdr:rowOff>180974</xdr:rowOff>
    </xdr:to>
    <xdr:cxnSp macro="">
      <xdr:nvCxnSpPr>
        <xdr:cNvPr id="31" name="연결선: 꺾임 30">
          <a:extLst>
            <a:ext uri="{FF2B5EF4-FFF2-40B4-BE49-F238E27FC236}">
              <a16:creationId xmlns:a16="http://schemas.microsoft.com/office/drawing/2014/main" xmlns="" id="{A4B1C975-5847-8456-40C5-6DDE2C823EA4}"/>
            </a:ext>
          </a:extLst>
        </xdr:cNvPr>
        <xdr:cNvCxnSpPr>
          <a:stCxn id="14" idx="2"/>
          <a:endCxn id="7" idx="1"/>
        </xdr:cNvCxnSpPr>
      </xdr:nvCxnSpPr>
      <xdr:spPr>
        <a:xfrm rot="16200000" flipH="1">
          <a:off x="1231106" y="6798468"/>
          <a:ext cx="733425" cy="85248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323850</xdr:colOff>
      <xdr:row>28</xdr:row>
      <xdr:rowOff>38100</xdr:rowOff>
    </xdr:from>
    <xdr:ext cx="378758" cy="264560"/>
    <xdr:sp macro="" textlink="">
      <xdr:nvSpPr>
        <xdr:cNvPr id="38" name="TextBox 37">
          <a:extLst>
            <a:ext uri="{FF2B5EF4-FFF2-40B4-BE49-F238E27FC236}">
              <a16:creationId xmlns:a16="http://schemas.microsoft.com/office/drawing/2014/main" xmlns="" id="{EFE1DFBB-02EC-18ED-F417-515678824882}"/>
            </a:ext>
          </a:extLst>
        </xdr:cNvPr>
        <xdr:cNvSpPr txBox="1"/>
      </xdr:nvSpPr>
      <xdr:spPr>
        <a:xfrm>
          <a:off x="809625" y="6819900"/>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Yes</a:t>
          </a:r>
          <a:endParaRPr lang="ko-KR" altLang="en-US" sz="1100"/>
        </a:p>
      </xdr:txBody>
    </xdr:sp>
    <xdr:clientData/>
  </xdr:oneCellAnchor>
  <xdr:oneCellAnchor>
    <xdr:from>
      <xdr:col>2</xdr:col>
      <xdr:colOff>1364316</xdr:colOff>
      <xdr:row>26</xdr:row>
      <xdr:rowOff>98612</xdr:rowOff>
    </xdr:from>
    <xdr:ext cx="426384" cy="264560"/>
    <xdr:sp macro="" textlink="">
      <xdr:nvSpPr>
        <xdr:cNvPr id="42" name="TextBox 41">
          <a:extLst>
            <a:ext uri="{FF2B5EF4-FFF2-40B4-BE49-F238E27FC236}">
              <a16:creationId xmlns:a16="http://schemas.microsoft.com/office/drawing/2014/main" xmlns="" id="{CE734718-B524-C10D-699F-BCABEDD5D175}"/>
            </a:ext>
          </a:extLst>
        </xdr:cNvPr>
        <xdr:cNvSpPr txBox="1"/>
      </xdr:nvSpPr>
      <xdr:spPr>
        <a:xfrm>
          <a:off x="1850091" y="6461312"/>
          <a:ext cx="426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a:t>No</a:t>
          </a:r>
          <a:r>
            <a:rPr lang="en-US" altLang="ko-KR" sz="1100" baseline="0"/>
            <a:t> </a:t>
          </a:r>
          <a:endParaRPr lang="ko-KR" alt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EXCEL\9702_05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ho\c\KBG\&#44536;&#45285;&#50672;&#442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4608;&#46041;&#54984;\&#44608;&#51333;&#49688;\DEVEL\HMC%20VAN\FO\99%202&#50900;E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1648;&#50864;&#51648;&#475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mailu.hyosung.com/windows/TEMP/ZTV11C5/&#51648;&#50864;&#51648;&#4756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221;&#51068;&#49340;\C\Lucy\EBIT\EBIT2K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51652;&#52380;&#44277;&#4968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50857;&#50672;&#44277;&#4968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51473;&#50672;&#44277;&#496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44305;&#51452;&#44277;&#4968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50872;&#49328;&#44277;&#4968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pns\&#49892;&#51201;&#48372;&#44256;\MA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pns\&#44592;&#53440;\&#49892;&#51201;&#54788;&#54889;%20a,%20b\WINDOWS\&#48148;&#53461;%20&#54868;&#47732;\Book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396;&#47749;&#49888;\WORK\&#49552;&#51061;&#52628;&#51221;\1997\&#52628;&#51221;7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PG&#51109;&#54924;&#51032;\PG&#44036;&#45812;&#54924;\5&#5090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50616;&#50577;&#44277;&#4968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45824;&#44396;&#44277;&#496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45236;%20&#46300;&#46972;&#51060;&#48652;\2023&#45380;%20&#49324;&#50629;\SBL\1%20&#49324;&#50629;&#49688;&#54665;\Scope3\C1%20Goods%20and%20Services\Scope3%20&#44277;&#44553;&#49324;%20&#54924;&#49888;\(Agilent)%2003_EN_2022_Samsung%20Biologics%20Supplier%20Survey%20Questionnaire%20-%20Response%20by%20Agilen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45236;%20&#46300;&#46972;&#51060;&#48652;\2023&#45380;%20&#49324;&#50629;\SBL\1%20&#49324;&#50629;&#49688;&#54665;\Scope3\C1%20Goods%20and%20Services\Scope3%20&#44277;&#44553;&#49324;%20&#54924;&#49888;\(cytiva)03_EN_2022_Samsung%20Biologics%20Supplier%20Survey%20Questionnaire_Cytiv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ailu.hyosung.com/My%20Documents/&#54861;&#44221;&#50865;/&#52488;&#52397;&#49464;&#48120;&#45208;/'99&#45380;&#46020;/&#54952;&#49457;&#51064;/1&#52264;(&#51312;&#51221;&#47000;)/WINDOWS/TEMP/TEMP/LDH/97&#44277;&#49688;/HGAN97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ailu.hyosung.com/&#45432;&#49324;/98/&#51076;&#54801;/&#44592;&#52488;&#854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windows\TEMP\ZTV11C5\&#51648;&#50864;&#51648;&#4756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44396;&#48120;&#44277;&#4968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mailu.hyosung.com/HEXCEL/96KYOSUB/GOJOL/BONSA/&#44277;&#51109;&#45824;&#487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mailm1.hyosung.com/&#44221;&#50689;&#44228;&#54925;/&#50896;&#54364;/&#45824;&#48708;&#48512;&#4557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ojuk\&#48148;&#53461;%20&#54868;&#47732;\TS16949\&#52572;&#48337;&#52384;\&#49373;&#49328;&#48512;%20PROCESS\&#49457;&#44284;&#51648;&#54364;\&#49373;&#49328;&#44288;&#47532;%20P\2003&#45380;&#44228;&#54925;&#45824;&#48708;&#49892;&#51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mailm1.hyosung.com/&#49552;&#51061;&#52628;&#51221;/1997/&#52628;&#51221;7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Documents%20and%20Settings\ojuk\&#48148;&#53461;%20&#54868;&#47732;\04&#45380;&#49373;&#49328;&#49457;&#54788;&#54889;(&#44221;&#5145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8149;&#50857;&#51456;\MY%20DOCUMENTS\PAY\NEGO\97\GOJOL\HEAD\&#48376;&#49324;5&#4455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060;&#46041;&#55148;&#54408;\LEEDH\WINDOWS\TEMP\&#51312;&#51221;&#51228;\VOID%20TFT\EXCEL\&#51068;&#48152;&#50629;&#47924;\&#50629;&#47924;&#44228;&#54925;\96MYJOB.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0689;&#50629;1\C\&#48149;&#51109;&#49692;\&#54924;&#49324;&#49548;&#44060;98c.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51221;&#51068;&#49340;\C\Lucy\EBIT\EBIT2K1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45432;&#49324;/97/GOJOL/FACTORY/&#49340;&#50577;bt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ailu.hyosung.com/PAY/NEGO/97/GOJOL/HEAD/&#48376;&#49324;5&#4455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312;&#51221;&#54788;\2000WORK\&#51648;&#50864;&#51648;&#4756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pns\PIVOT\0404&#49892;&#51201;\pns\&#49373;&#49328;&#44228;&#54925;\&#51116;&#44256;&#54788;&#5488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221;&#51068;&#49340;\C\Lucy\EBIT\&#44060;&#51064;2K0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221;&#51068;&#49340;\C\Lucy\EBIT\&#44060;&#51064;2K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4396;&#47749;&#49888;\WORK\My%20Documents\TUJA\2002\YU\PLAN_OLD\ACP\SPAREACP.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mailu.hyosung.com/WINDOWS/TEMP/99&#44277;&#4968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mailm2.hyosung.com/PAY/NEGO/97/GOJOL/HEAD/&#48376;&#49324;5&#4455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305;&#54840;\&#51064;&#49324;&#54016;\PERSON\97\&#50872;&#49328;&#49892;&#5120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EXCEL/97KYOSUB/GOJOL/FACTORY/&#44032;&#51473;&#50672;&#4839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1221;&#51068;&#49340;\C\Lucy\EBIT\EBIT\EBIT2K1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B:\IN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44553;&#50668;&#49688;&#51456;/99/&#51068;&#44553;&#51228;/&#44540;&#44144;&#51088;&#47308;(99&#5498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TEMP\LDH\97&#44277;&#49688;\HGAN97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221;&#51068;&#49340;\C\Lucy\EBIT\EBIT2K0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45224;&#50500;&#45817;&#51088;&#44053;\C\WINDOWS\TEMP\&#49888;&#51076;&#52264;&#5110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mailu.hyosung.com/WINDOWS/TEMP/&#47749;&#45800;122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mailm2.hyosung.com/&#45432;&#49324;/97/GOJOL/HEAD/&#48376;&#49324;5&#44553;.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44592;&#44036;&#51649;&#45824;&#487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EXCEL/97KYOSUB/DAEJOL/&#49849;&#4455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1340;&#53468;&#44600;\C\My%20Documents\jj%20data\&#51076;&#45800;&#54801;\00&#45380;&#45800;&#54801;\&#44592;&#45733;&#50672;~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1.%20&#49340;&#54868;&#45817;%20&#50629;&#47924;&#51088;&#47308;/A.%20ESG%20(&#54872;&#44221;,%20&#50504;&#51204;,%20&#51648;&#49549;&#44221;&#50689;)/&#49340;&#49457;&#48148;&#51060;&#50724;%20ESG%20&#45824;&#51025;&#51088;&#47308;/&#49340;&#49457;&#48148;&#51060;&#50724;_&#53444;&#49548;&#51473;&#47549;%20&#51656;&#51032;&#49436;%20&#51228;&#52636;&#51088;&#47308;/2025&#45380;/2025_Samsung%20Biologics%20Supplier%20Survey_F_kr_samhwadang%20p&amp;t(&#52572;&#51333;&#49688;&#51221;&#48376;).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82.198.160.100\Sustainable_Business_Team\&#45236;%20&#46300;&#46972;&#51060;&#48652;\2023&#45380;%20&#49324;&#50629;\SBL\1%20&#49324;&#50629;&#49688;&#54665;\Scope3\C1%20Goods%20and%20Services\Scope3%20&#44277;&#44553;&#49324;%20&#54924;&#49888;\(cytiva)03_EN_2022_Samsung%20Biologics%20Supplier%20Survey%20Questionnaire_Cytiv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REF!"/>
      <sheetName val="1월"/>
      <sheetName val="SCord"/>
      <sheetName val="광주"/>
      <sheetName val="구미"/>
      <sheetName val="10고객별 담당자"/>
      <sheetName val="매출이익011h"/>
      <sheetName val="용도01_02년비교"/>
      <sheetName val="용도02년"/>
      <sheetName val="CHAB02년1월이후"/>
      <sheetName val="Sheet1"/>
      <sheetName val="중강당 내역"/>
      <sheetName val="총괄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그냥연결"/>
      <sheetName val="임금실적"/>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본사인상전"/>
      <sheetName val="광주"/>
      <sheetName val="구미"/>
      <sheetName val="대구"/>
      <sheetName val="언양"/>
      <sheetName val="용연"/>
      <sheetName val="울산"/>
      <sheetName val="중연"/>
      <sheetName val="진천"/>
      <sheetName val="비용"/>
      <sheetName val="T&amp;C"/>
      <sheetName val="고합"/>
      <sheetName val="99계획대비실적"/>
      <sheetName val="TNC(1안)"/>
      <sheetName val="직급실적"/>
      <sheetName val="산자강선PU(배부후)"/>
      <sheetName val="일급제인원실적"/>
      <sheetName val="월급제인원실적"/>
      <sheetName val="월급제부서원가별"/>
      <sheetName val="일급제부서원가별"/>
      <sheetName val="SUS배관단가"/>
      <sheetName val="시산표"/>
      <sheetName val="#REF"/>
      <sheetName val="1-12월"/>
      <sheetName val="Macro"/>
      <sheetName val="총무"/>
      <sheetName val="지수"/>
      <sheetName val="Base"/>
      <sheetName val="버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 2월EO"/>
      <sheetName val="대외공문"/>
      <sheetName val="협조전"/>
      <sheetName val="첨부2"/>
      <sheetName val="그패프"/>
      <sheetName val="경쟁실분"/>
      <sheetName val="2.대외공문"/>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ROIC"/>
      <sheetName val="자산양식"/>
      <sheetName val="손익총괄"/>
      <sheetName val="화학PG계"/>
      <sheetName val="중공업PG계"/>
      <sheetName val="정보통신PG계"/>
      <sheetName val="무역PG계"/>
      <sheetName val="매출이익 (년간1002)"/>
      <sheetName val="Sheet1"/>
      <sheetName val="관리회계"/>
      <sheetName val="TDC"/>
      <sheetName val="HMC"/>
      <sheetName val="HEC"/>
      <sheetName val="HDV"/>
      <sheetName val="HEEC"/>
      <sheetName val="HIS"/>
      <sheetName val="HDS"/>
      <sheetName val="FINANCE"/>
      <sheetName val="트랜스월드"/>
      <sheetName val="공통비"/>
      <sheetName val="효성"/>
      <sheetName val="산자강선"/>
      <sheetName val="나이론원사"/>
      <sheetName val="PET원사"/>
      <sheetName val="직물PU"/>
      <sheetName val="인테리어"/>
      <sheetName val="성형"/>
      <sheetName val="PPDH"/>
      <sheetName val="TPA"/>
      <sheetName val="FILM"/>
      <sheetName val="생활환경"/>
      <sheetName val="전력"/>
      <sheetName val="기전"/>
      <sheetName val="건설"/>
      <sheetName val="컴퓨터"/>
      <sheetName val="화학"/>
      <sheetName val="염색"/>
      <sheetName val="기계"/>
      <sheetName val="철강"/>
      <sheetName val="섬유"/>
      <sheetName val="목재"/>
      <sheetName val="SPAN"/>
      <sheetName val="10월"/>
      <sheetName val="11월"/>
      <sheetName val="12월"/>
      <sheetName val="표지"/>
      <sheetName val="1_3_1.조정명세_년간"/>
      <sheetName val="1_3_2.조정명세_월별"/>
      <sheetName val="1_3_3.조정명세_03추정"/>
      <sheetName val="1.관리_연도"/>
      <sheetName val="1_1_1.관리_년간"/>
      <sheetName val="1_1_2.관리_월별"/>
      <sheetName val="1_1_3.관리_03추정"/>
      <sheetName val="1_2_1.재무_년간"/>
      <sheetName val="1_2_2.재무_월별"/>
      <sheetName val="1_2_3.재무_03추정"/>
      <sheetName val="1_4.사내판매"/>
      <sheetName val="1_5.대손충당금"/>
      <sheetName val="2_1_1.EV연간"/>
      <sheetName val="2_1_2.EV월별"/>
      <sheetName val="2_2_1.ROIC년간 (2)"/>
      <sheetName val="2_2_2.ROIC월별 (2)"/>
      <sheetName val="2_3_1.BEP"/>
      <sheetName val="2_3_2.BEP_보조"/>
      <sheetName val="3_1_1.제조비용년간"/>
      <sheetName val="3_1_2.제조비용월별"/>
      <sheetName val="3_1_3.매출원가"/>
      <sheetName val="3_1_4.표준원가_사업장별"/>
      <sheetName val="3_1_5.표준원가_규격별"/>
      <sheetName val="3_2_1.판관비년간"/>
      <sheetName val="3_2_2.판관비월별"/>
      <sheetName val="3_2_3.판관비년간상세"/>
      <sheetName val="3_2_4.판관비월별상세"/>
      <sheetName val="3_3_1.영외수지년간"/>
      <sheetName val="3_3_2.영외수지월별"/>
      <sheetName val="4_1_1.전년투자실적"/>
      <sheetName val="4_1_2.투자년도"/>
      <sheetName val="4_1_3.투자월별"/>
      <sheetName val="4_1_4.투자실적년도"/>
      <sheetName val="4_2_1.투하연도"/>
      <sheetName val="4_2_2.평균투하연도"/>
      <sheetName val="4_2_3.투하월별"/>
      <sheetName val="4_2_4.투하실적_99"/>
      <sheetName val="4_2_4.투하실적_00"/>
      <sheetName val="4_2_4.투하실적_01"/>
      <sheetName val="4_2_4.투하실적_02"/>
      <sheetName val="4_2_4.투하계획_03"/>
      <sheetName val="4_2_4.투하추정_03"/>
      <sheetName val="4_2_5.유산스진행"/>
      <sheetName val="4_2_6.유전스조정"/>
      <sheetName val="4_2_7.유전스조정_03추정"/>
      <sheetName val="4_3.여신"/>
      <sheetName val="4_4.재고"/>
      <sheetName val="5_1.현금흐름실적_연도"/>
      <sheetName val="5_2.현금흐름계획연도"/>
      <sheetName val="5_3.현금흐름월별"/>
      <sheetName val="5_4.현금흐름실적_99"/>
      <sheetName val="5_4.현금흐름실적_00"/>
      <sheetName val="5_4.현금흐름실적_01"/>
      <sheetName val="5_4.현금흐름실적_02"/>
      <sheetName val="5_4.현금흐름계획_03"/>
      <sheetName val="5_4.현금흐름추정_03"/>
      <sheetName val="6_1.주요경영지수"/>
      <sheetName val="6_1.주요경영지수월별"/>
      <sheetName val="6_1_1.수주"/>
      <sheetName val="6_1_2.수주월별"/>
      <sheetName val="6_2_1.생산량"/>
      <sheetName val="6_2_2.생산량월별"/>
      <sheetName val="6_2_3.생산"/>
      <sheetName val="6_2_4.생산월별"/>
      <sheetName val="6_3_1.판매량"/>
      <sheetName val="6_3_2.판매량월별"/>
      <sheetName val="6_4_1.판매금액"/>
      <sheetName val="6_4_2.판매금액월별"/>
      <sheetName val="6_5_1.시장별매출"/>
      <sheetName val="6_5_2.시장별매출월별"/>
      <sheetName val="6_5_3.시장별판매량"/>
      <sheetName val="6_5_4.시장별판매량월별"/>
      <sheetName val="6_5_5.수출"/>
      <sheetName val="6_5_6.시장별원부재료구매계획"/>
      <sheetName val="6_5_7.시장별원부재료구매월별"/>
      <sheetName val="6_5_8.외화표시"/>
      <sheetName val="6_6.관리지수"/>
      <sheetName val="7_1.인원"/>
      <sheetName val="7_2_1.인건비직접"/>
      <sheetName val="7_2_2.간접포함인건비"/>
      <sheetName val="7_3.공수"/>
      <sheetName val="TNC(1안)"/>
      <sheetName val="일급제인원실적"/>
      <sheetName val="고합"/>
      <sheetName val="월급제인원실적"/>
      <sheetName val="월급제부서원가별"/>
      <sheetName val="일급제부서원가별"/>
      <sheetName val="_REF"/>
      <sheetName val="1_12월"/>
      <sheetName val="그룹"/>
      <sheetName val="WORK"/>
      <sheetName val="적용환율"/>
      <sheetName val="EBITDA"/>
      <sheetName val="목록"/>
      <sheetName val="보정사항"/>
      <sheetName val="OPT손익 내수"/>
      <sheetName val="OPT손익 수출"/>
      <sheetName val="Base"/>
      <sheetName val="FOB"/>
      <sheetName val="생산량"/>
      <sheetName val="만기"/>
      <sheetName val="--"/>
      <sheetName val="11고객별 담당자"/>
      <sheetName val="구미2월"/>
      <sheetName val="안양2월"/>
      <sheetName val="admin"/>
      <sheetName val="교대(A1)"/>
      <sheetName val="1~3월"/>
      <sheetName val="T&amp;C"/>
      <sheetName val="db (don't touch)"/>
      <sheetName val="판가"/>
      <sheetName val="SUS배관단가"/>
      <sheetName val="창원계"/>
      <sheetName val="창원계(연)"/>
      <sheetName val="기획관리"/>
      <sheetName val="M-PJT"/>
      <sheetName val="생산관리혁신TFT_본사"/>
      <sheetName val="전략실행_본사"/>
      <sheetName val="기획혁신_본사"/>
      <sheetName val="회전기1"/>
      <sheetName val="발전기"/>
      <sheetName val="회전기2"/>
      <sheetName val="기어솔루션"/>
      <sheetName val="글로벌영업_계"/>
      <sheetName val="산설"/>
      <sheetName val="플랜트팀"/>
      <sheetName val="구매_기전담당"/>
      <sheetName val="연구_안양"/>
      <sheetName val="특수기설계"/>
      <sheetName val="발전기설계"/>
      <sheetName val="전동기기술"/>
      <sheetName val="고압개발"/>
      <sheetName val="저압개발"/>
      <sheetName val="저압제작"/>
      <sheetName val="저압부품"/>
      <sheetName val="저압설계"/>
      <sheetName val="고압제작"/>
      <sheetName val="고압설계"/>
      <sheetName val="기어제작"/>
      <sheetName val="기어설계"/>
      <sheetName val="기어개발"/>
      <sheetName val="생산기술"/>
      <sheetName val="산기"/>
      <sheetName val="주조"/>
      <sheetName val="품검"/>
      <sheetName val="고객_계"/>
      <sheetName val="플해영"/>
      <sheetName val="선박"/>
      <sheetName val="생관"/>
      <sheetName val="프리미엄전동기 TFT"/>
      <sheetName val="SPG TFT(구 LST-Ⅱ TFT)"/>
      <sheetName val="GBOX 생산TFT"/>
      <sheetName val="J3"/>
      <sheetName val="소형제작"/>
      <sheetName val="직류"/>
      <sheetName val="생산관리혁신TF_창원"/>
      <sheetName val="전략실행_창원"/>
      <sheetName val="기획혁신_창원"/>
      <sheetName val="연구_창원"/>
      <sheetName val="산설_판관"/>
      <sheetName val="플랜트_판관"/>
      <sheetName val="{참고-비용투입구입용}고객_창원"/>
      <sheetName val="산설_공사"/>
      <sheetName val="플랜트_공사"/>
      <sheetName val="11-12"/>
      <sheetName val="요약"/>
      <sheetName val="패키징"/>
      <sheetName val="PET"/>
      <sheetName val="99계획대비실적"/>
      <sheetName val="hierarchy"/>
      <sheetName val="1급갑"/>
      <sheetName val="CRITERIA1"/>
      <sheetName val="근속년수(입사일)"/>
      <sheetName val="2010년 매출 계획"/>
      <sheetName val="Y-WORK"/>
      <sheetName val="예산내역서"/>
      <sheetName val="▶판매량Trend(수정안)"/>
      <sheetName val="▶판가Trend(수정안)"/>
      <sheetName val="인상안"/>
      <sheetName val="쌍체T"/>
      <sheetName val="2sampleT"/>
      <sheetName val=""/>
      <sheetName val="01_12月_Lot별_판매실적.xls"/>
      <sheetName val="시산표"/>
      <sheetName val="현금예금"/>
      <sheetName val="TBS_3"/>
      <sheetName val="타사비교(13년)"/>
      <sheetName val="PL"/>
      <sheetName val="산자사 운전용품"/>
      <sheetName val="1-최종안"/>
      <sheetName val="사업분석-분양가결정"/>
      <sheetName val="▶제조"/>
      <sheetName val="▶판매관련"/>
      <sheetName val="산자강선PU(배부후)"/>
      <sheetName val="1.분배비율 조정 案"/>
      <sheetName val="Ölçüleri"/>
      <sheetName val="PRICAT99"/>
      <sheetName val="생산계획"/>
      <sheetName val="세금"/>
      <sheetName val="지급"/>
      <sheetName val="차량"/>
      <sheetName val="도서"/>
      <sheetName val="임차"/>
      <sheetName val="매출이익_(년간1002)"/>
      <sheetName val="1_3_1_조정명세_년간"/>
      <sheetName val="1_3_2_조정명세_월별"/>
      <sheetName val="1_3_3_조정명세_03추정"/>
      <sheetName val="1_관리_연도"/>
      <sheetName val="1_1_1_관리_년간"/>
      <sheetName val="1_1_2_관리_월별"/>
      <sheetName val="1_1_3_관리_03추정"/>
      <sheetName val="1_2_1_재무_년간"/>
      <sheetName val="1_2_2_재무_월별"/>
      <sheetName val="1_2_3_재무_03추정"/>
      <sheetName val="1_4_사내판매"/>
      <sheetName val="1_5_대손충당금"/>
      <sheetName val="2_1_1_EV연간"/>
      <sheetName val="2_1_2_EV월별"/>
      <sheetName val="2_2_1_ROIC년간_(2)"/>
      <sheetName val="2_2_2_ROIC월별_(2)"/>
      <sheetName val="2_3_1_BEP"/>
      <sheetName val="2_3_2_BEP_보조"/>
      <sheetName val="3_1_1_제조비용년간"/>
      <sheetName val="3_1_2_제조비용월별"/>
      <sheetName val="3_1_3_매출원가"/>
      <sheetName val="3_1_4_표준원가_사업장별"/>
      <sheetName val="3_1_5_표준원가_규격별"/>
      <sheetName val="3_2_1_판관비년간"/>
      <sheetName val="3_2_2_판관비월별"/>
      <sheetName val="3_2_3_판관비년간상세"/>
      <sheetName val="3_2_4_판관비월별상세"/>
      <sheetName val="3_3_1_영외수지년간"/>
      <sheetName val="3_3_2_영외수지월별"/>
      <sheetName val="4_1_1_전년투자실적"/>
      <sheetName val="4_1_2_투자년도"/>
      <sheetName val="4_1_3_투자월별"/>
      <sheetName val="4_1_4_투자실적년도"/>
      <sheetName val="4_2_1_투하연도"/>
      <sheetName val="4_2_2_평균투하연도"/>
      <sheetName val="4_2_3_투하월별"/>
      <sheetName val="4_2_4_투하실적_99"/>
      <sheetName val="4_2_4_투하실적_00"/>
      <sheetName val="4_2_4_투하실적_01"/>
      <sheetName val="4_2_4_투하실적_02"/>
      <sheetName val="4_2_4_투하계획_03"/>
      <sheetName val="4_2_4_투하추정_03"/>
      <sheetName val="4_2_5_유산스진행"/>
      <sheetName val="4_2_6_유전스조정"/>
      <sheetName val="4_2_7_유전스조정_03추정"/>
      <sheetName val="4_3_여신"/>
      <sheetName val="4_4_재고"/>
      <sheetName val="5_1_현금흐름실적_연도"/>
      <sheetName val="5_2_현금흐름계획연도"/>
      <sheetName val="5_3_현금흐름월별"/>
      <sheetName val="5_4_현금흐름실적_99"/>
      <sheetName val="5_4_현금흐름실적_00"/>
      <sheetName val="5_4_현금흐름실적_01"/>
      <sheetName val="5_4_현금흐름실적_02"/>
      <sheetName val="5_4_현금흐름계획_03"/>
      <sheetName val="5_4_현금흐름추정_03"/>
      <sheetName val="6_1_주요경영지수"/>
      <sheetName val="6_1_주요경영지수월별"/>
      <sheetName val="6_1_1_수주"/>
      <sheetName val="6_1_2_수주월별"/>
      <sheetName val="6_2_1_생산량"/>
      <sheetName val="6_2_2_생산량월별"/>
      <sheetName val="6_2_3_생산"/>
      <sheetName val="6_2_4_생산월별"/>
      <sheetName val="6_3_1_판매량"/>
      <sheetName val="6_3_2_판매량월별"/>
      <sheetName val="6_4_1_판매금액"/>
      <sheetName val="6_4_2_판매금액월별"/>
      <sheetName val="6_5_1_시장별매출"/>
      <sheetName val="6_5_2_시장별매출월별"/>
      <sheetName val="6_5_3_시장별판매량"/>
      <sheetName val="6_5_4_시장별판매량월별"/>
      <sheetName val="6_5_5_수출"/>
      <sheetName val="6_5_6_시장별원부재료구매계획"/>
      <sheetName val="6_5_7_시장별원부재료구매월별"/>
      <sheetName val="6_5_8_외화표시"/>
      <sheetName val="6_6_관리지수"/>
      <sheetName val="7_1_인원"/>
      <sheetName val="7_2_1_인건비직접"/>
      <sheetName val="7_2_2_간접포함인건비"/>
      <sheetName val="7_3_공수"/>
      <sheetName val="11고객별_담당자"/>
      <sheetName val="OPT손익_내수"/>
      <sheetName val="OPT손익_수출"/>
      <sheetName val="db_(don't_touch)"/>
      <sheetName val="프리미엄전동기_TFT"/>
      <sheetName val="SPG_TFT(구_LST-Ⅱ_TFT)"/>
      <sheetName val="GBOX_생산TFT"/>
      <sheetName val="2010년_매출_계획"/>
      <sheetName val="판매량"/>
      <sheetName val="총매출액"/>
      <sheetName val="총무"/>
      <sheetName val="직급실적"/>
      <sheetName val="DEV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 val="손익총괄"/>
      <sheetName val="DATA"/>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6판매"/>
      <sheetName val="Sheet2"/>
      <sheetName val="06AA판매"/>
      <sheetName val="06제품별수익성"/>
      <sheetName val="6월시장별제품별판매"/>
      <sheetName val="06피벗"/>
      <sheetName val="06DATA"/>
      <sheetName val="06EBIT"/>
      <sheetName val="06EBIT값"/>
      <sheetName val="06고객별 담당자"/>
      <sheetName val="Sheet1"/>
      <sheetName val="06SG&amp;A"/>
      <sheetName val="07제품별수익성"/>
      <sheetName val="태광"/>
      <sheetName val="#REF"/>
      <sheetName val="용연"/>
      <sheetName val="울산"/>
      <sheetName val="진천"/>
      <sheetName val="구미"/>
      <sheetName val="대구"/>
      <sheetName val="언양"/>
      <sheetName val="요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천"/>
      <sheetName val="중연"/>
      <sheetName val="교수설계"/>
      <sheetName val="Sheet1"/>
      <sheetName val="직급실적"/>
      <sheetName val="진천공수"/>
      <sheetName val="구미"/>
      <sheetName val="1급갑"/>
      <sheetName val="용연"/>
      <sheetName val="FAB4생산"/>
      <sheetName val="생산량"/>
      <sheetName val="울산"/>
      <sheetName val="인상안"/>
      <sheetName val="Base"/>
      <sheetName val="Macro1"/>
      <sheetName val="구미2월"/>
      <sheetName val="안양2월"/>
      <sheetName val="2-2.매출분석"/>
      <sheetName val="Ölçüleri"/>
      <sheetName val="언양"/>
      <sheetName val="2_2_2.ROIC월별"/>
      <sheetName val="SparePartContractualBase"/>
      <sheetName val="타사비교(13년)"/>
      <sheetName val="T&amp;C"/>
      <sheetName val="대구"/>
      <sheetName val="#REF"/>
      <sheetName val="광주"/>
      <sheetName val="손익총괄"/>
      <sheetName val="기초데이타"/>
      <sheetName val="시산표"/>
      <sheetName val="1-12월"/>
      <sheetName val="Macro"/>
      <sheetName val="薬品リスト"/>
      <sheetName val="FA-LISTING"/>
      <sheetName val="DATA"/>
      <sheetName val="04고객별 담당자"/>
      <sheetName val="Ctrl"/>
      <sheetName val="#REF!"/>
    </sheetNames>
    <sheetDataSet>
      <sheetData sheetId="0" refreshError="1">
        <row r="10">
          <cell r="I10">
            <v>320</v>
          </cell>
          <cell r="J10">
            <v>320</v>
          </cell>
          <cell r="K10">
            <v>320</v>
          </cell>
        </row>
        <row r="11">
          <cell r="I11">
            <v>54.7</v>
          </cell>
          <cell r="J11">
            <v>54.7</v>
          </cell>
          <cell r="K11">
            <v>54.7</v>
          </cell>
        </row>
        <row r="12">
          <cell r="I12">
            <v>17504</v>
          </cell>
          <cell r="J12">
            <v>17504</v>
          </cell>
          <cell r="K12">
            <v>17504</v>
          </cell>
        </row>
        <row r="13">
          <cell r="I13">
            <v>105736</v>
          </cell>
          <cell r="J13">
            <v>105736</v>
          </cell>
          <cell r="K13">
            <v>105736</v>
          </cell>
        </row>
        <row r="14">
          <cell r="I14">
            <v>6.0406764168190126</v>
          </cell>
          <cell r="J14">
            <v>6.0406764168190126</v>
          </cell>
          <cell r="K14">
            <v>6.0406764168190126</v>
          </cell>
        </row>
        <row r="15">
          <cell r="I15">
            <v>160</v>
          </cell>
          <cell r="J15">
            <v>160</v>
          </cell>
          <cell r="K15">
            <v>160</v>
          </cell>
        </row>
        <row r="16">
          <cell r="I16">
            <v>54.725000000000001</v>
          </cell>
          <cell r="J16">
            <v>54.725000000000001</v>
          </cell>
          <cell r="K16">
            <v>54.725000000000001</v>
          </cell>
        </row>
        <row r="17">
          <cell r="I17">
            <v>8756</v>
          </cell>
          <cell r="J17">
            <v>8756</v>
          </cell>
          <cell r="K17">
            <v>8756</v>
          </cell>
        </row>
        <row r="18">
          <cell r="I18">
            <v>48</v>
          </cell>
          <cell r="J18">
            <v>48</v>
          </cell>
          <cell r="K18">
            <v>48</v>
          </cell>
        </row>
        <row r="19">
          <cell r="I19">
            <v>45</v>
          </cell>
          <cell r="J19">
            <v>45</v>
          </cell>
          <cell r="K19">
            <v>45</v>
          </cell>
        </row>
        <row r="20">
          <cell r="I20">
            <v>2160</v>
          </cell>
          <cell r="J20">
            <v>2160</v>
          </cell>
          <cell r="K20">
            <v>2160</v>
          </cell>
        </row>
        <row r="21">
          <cell r="I21">
            <v>208</v>
          </cell>
          <cell r="J21">
            <v>208</v>
          </cell>
          <cell r="K21">
            <v>208</v>
          </cell>
        </row>
        <row r="22">
          <cell r="I22">
            <v>52.480769230769234</v>
          </cell>
          <cell r="J22">
            <v>52.480769230769234</v>
          </cell>
          <cell r="K22">
            <v>52.480769230769234</v>
          </cell>
        </row>
        <row r="23">
          <cell r="I23">
            <v>10916</v>
          </cell>
          <cell r="J23">
            <v>10916</v>
          </cell>
          <cell r="K23">
            <v>10916</v>
          </cell>
        </row>
        <row r="38">
          <cell r="I38">
            <v>528</v>
          </cell>
          <cell r="J38">
            <v>528</v>
          </cell>
          <cell r="K38">
            <v>528</v>
          </cell>
        </row>
        <row r="39">
          <cell r="I39">
            <v>53.825757575757578</v>
          </cell>
          <cell r="J39">
            <v>53.825757575757578</v>
          </cell>
          <cell r="K39">
            <v>53.825757575757578</v>
          </cell>
        </row>
        <row r="40">
          <cell r="I40">
            <v>28420</v>
          </cell>
          <cell r="J40">
            <v>28420</v>
          </cell>
          <cell r="K40">
            <v>28420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용연"/>
      <sheetName val="언양"/>
      <sheetName val="본사인상전"/>
      <sheetName val="진천"/>
      <sheetName val="1.외주공사"/>
      <sheetName val="2.직영공사"/>
      <sheetName val="TNC(1안)"/>
      <sheetName val="환율change"/>
      <sheetName val="411-00 외화장기"/>
      <sheetName val="건설가"/>
      <sheetName val="TNC"/>
      <sheetName val="손익총괄"/>
      <sheetName val="월별손익"/>
      <sheetName val="비용"/>
      <sheetName val="1급갑"/>
      <sheetName val="용연공수"/>
      <sheetName val="Macro"/>
      <sheetName val="표지"/>
      <sheetName val="LOG"/>
      <sheetName val="Base"/>
      <sheetName val="광주"/>
      <sheetName val="INFORM"/>
      <sheetName val="대구"/>
      <sheetName val="울산"/>
      <sheetName val="#REF"/>
      <sheetName val="구미"/>
      <sheetName val="중연"/>
      <sheetName val="Macro1"/>
      <sheetName val="타사비교(13년)"/>
      <sheetName val="BM_NEW2"/>
      <sheetName val="11고객별 담당자"/>
      <sheetName val="T&amp;C"/>
      <sheetName val="MS"/>
      <sheetName val="요약"/>
      <sheetName val="FA-LISTING"/>
      <sheetName val="1_03수익성대비표"/>
      <sheetName val="#REF!"/>
    </sheetNames>
    <sheetDataSet>
      <sheetData sheetId="0" refreshError="1">
        <row r="10">
          <cell r="I10">
            <v>19</v>
          </cell>
          <cell r="J10">
            <v>21</v>
          </cell>
          <cell r="K10">
            <v>21</v>
          </cell>
        </row>
        <row r="11">
          <cell r="I11">
            <v>46.842105263157897</v>
          </cell>
          <cell r="J11" t="e">
            <v>#VALUE!</v>
          </cell>
          <cell r="K11" t="e">
            <v>#VALUE!</v>
          </cell>
        </row>
        <row r="12">
          <cell r="I12">
            <v>890</v>
          </cell>
          <cell r="J12" t="e">
            <v>#VALUE!</v>
          </cell>
          <cell r="K12" t="e">
            <v>#VALUE!</v>
          </cell>
        </row>
        <row r="13">
          <cell r="I13">
            <v>11051</v>
          </cell>
          <cell r="J13">
            <v>14850</v>
          </cell>
          <cell r="K13">
            <v>6589</v>
          </cell>
        </row>
        <row r="14">
          <cell r="I14">
            <v>12.416853932584269</v>
          </cell>
          <cell r="J14" t="e">
            <v>#VALUE!</v>
          </cell>
          <cell r="K14" t="e">
            <v>#VALUE!</v>
          </cell>
        </row>
        <row r="15">
          <cell r="I15">
            <v>18</v>
          </cell>
          <cell r="J15">
            <v>18</v>
          </cell>
          <cell r="K15">
            <v>18</v>
          </cell>
        </row>
        <row r="16">
          <cell r="I16">
            <v>49.333333333333336</v>
          </cell>
          <cell r="J16" t="e">
            <v>#VALUE!</v>
          </cell>
          <cell r="K16" t="e">
            <v>#VALUE!</v>
          </cell>
        </row>
        <row r="17">
          <cell r="I17">
            <v>888</v>
          </cell>
          <cell r="J17" t="e">
            <v>#VALUE!</v>
          </cell>
          <cell r="K17" t="e">
            <v>#VALUE!</v>
          </cell>
        </row>
        <row r="18">
          <cell r="I18">
            <v>9779</v>
          </cell>
          <cell r="J18">
            <v>9900</v>
          </cell>
          <cell r="K18">
            <v>9904</v>
          </cell>
        </row>
        <row r="19">
          <cell r="I19">
            <v>11.012387387387387</v>
          </cell>
          <cell r="J19" t="e">
            <v>#VALUE!</v>
          </cell>
          <cell r="K19" t="e">
            <v>#VALUE!</v>
          </cell>
        </row>
        <row r="20">
          <cell r="I20">
            <v>11</v>
          </cell>
          <cell r="J20">
            <v>10</v>
          </cell>
          <cell r="K20">
            <v>0</v>
          </cell>
        </row>
        <row r="21">
          <cell r="I21">
            <v>38.909090909090907</v>
          </cell>
          <cell r="J21">
            <v>40</v>
          </cell>
          <cell r="K21" t="e">
            <v>#DIV/0!</v>
          </cell>
        </row>
        <row r="22">
          <cell r="I22">
            <v>428</v>
          </cell>
          <cell r="J22">
            <v>400</v>
          </cell>
          <cell r="K22">
            <v>0</v>
          </cell>
        </row>
        <row r="23">
          <cell r="I23">
            <v>3</v>
          </cell>
          <cell r="J23">
            <v>3</v>
          </cell>
          <cell r="K23">
            <v>3</v>
          </cell>
        </row>
        <row r="24">
          <cell r="I24">
            <v>46</v>
          </cell>
          <cell r="J24">
            <v>46.333333333333336</v>
          </cell>
          <cell r="K24">
            <v>49.333333333333336</v>
          </cell>
        </row>
        <row r="25">
          <cell r="I25">
            <v>138</v>
          </cell>
          <cell r="J25">
            <v>139</v>
          </cell>
          <cell r="K25">
            <v>148</v>
          </cell>
        </row>
        <row r="26">
          <cell r="I26">
            <v>6</v>
          </cell>
          <cell r="J26">
            <v>3</v>
          </cell>
          <cell r="K26" t="e">
            <v>#VALUE!</v>
          </cell>
        </row>
        <row r="27">
          <cell r="I27">
            <v>45.333333333333336</v>
          </cell>
          <cell r="J27">
            <v>48</v>
          </cell>
          <cell r="K27" t="e">
            <v>#VALUE!</v>
          </cell>
        </row>
        <row r="28">
          <cell r="I28">
            <v>272</v>
          </cell>
          <cell r="J28">
            <v>144</v>
          </cell>
          <cell r="K28">
            <v>152</v>
          </cell>
        </row>
        <row r="29">
          <cell r="I29">
            <v>12</v>
          </cell>
          <cell r="J29">
            <v>12</v>
          </cell>
          <cell r="K29">
            <v>12</v>
          </cell>
        </row>
        <row r="30">
          <cell r="I30">
            <v>44.166666666666664</v>
          </cell>
          <cell r="J30">
            <v>44.166666666666664</v>
          </cell>
          <cell r="K30">
            <v>44.833333333333336</v>
          </cell>
        </row>
        <row r="31">
          <cell r="I31">
            <v>530</v>
          </cell>
          <cell r="J31">
            <v>530</v>
          </cell>
          <cell r="K31">
            <v>538</v>
          </cell>
        </row>
        <row r="32">
          <cell r="I32">
            <v>18</v>
          </cell>
          <cell r="J32">
            <v>18</v>
          </cell>
          <cell r="K32">
            <v>18</v>
          </cell>
        </row>
        <row r="33">
          <cell r="I33">
            <v>49.444444444444443</v>
          </cell>
          <cell r="J33">
            <v>43.666666666666664</v>
          </cell>
          <cell r="K33">
            <v>48.722222222222221</v>
          </cell>
        </row>
        <row r="34">
          <cell r="I34">
            <v>890</v>
          </cell>
          <cell r="J34">
            <v>786</v>
          </cell>
          <cell r="K34">
            <v>877</v>
          </cell>
        </row>
        <row r="35">
          <cell r="I35">
            <v>7</v>
          </cell>
          <cell r="J35">
            <v>7</v>
          </cell>
          <cell r="K35">
            <v>7</v>
          </cell>
        </row>
        <row r="36">
          <cell r="I36">
            <v>52</v>
          </cell>
          <cell r="J36">
            <v>42.857142857142854</v>
          </cell>
          <cell r="K36">
            <v>44.428571428571431</v>
          </cell>
        </row>
        <row r="37">
          <cell r="I37">
            <v>364</v>
          </cell>
          <cell r="J37">
            <v>300</v>
          </cell>
          <cell r="K37">
            <v>311</v>
          </cell>
        </row>
        <row r="38">
          <cell r="I38">
            <v>46</v>
          </cell>
          <cell r="J38">
            <v>43</v>
          </cell>
          <cell r="K38">
            <v>43</v>
          </cell>
        </row>
        <row r="39">
          <cell r="I39">
            <v>47.695652173913047</v>
          </cell>
          <cell r="J39">
            <v>44.162790697674417</v>
          </cell>
          <cell r="K39">
            <v>47.116279069767444</v>
          </cell>
        </row>
        <row r="40">
          <cell r="I40">
            <v>2194</v>
          </cell>
          <cell r="J40">
            <v>1899</v>
          </cell>
          <cell r="K40">
            <v>2026</v>
          </cell>
        </row>
        <row r="41">
          <cell r="I41">
            <v>94</v>
          </cell>
          <cell r="J41">
            <v>92</v>
          </cell>
          <cell r="K41">
            <v>82</v>
          </cell>
        </row>
        <row r="42">
          <cell r="I42">
            <v>46.808510638297875</v>
          </cell>
          <cell r="J42" t="e">
            <v>#VALUE!</v>
          </cell>
          <cell r="K42" t="e">
            <v>#VALUE!</v>
          </cell>
        </row>
        <row r="43">
          <cell r="I43">
            <v>4400</v>
          </cell>
          <cell r="J43" t="e">
            <v>#VALUE!</v>
          </cell>
          <cell r="K43"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중연"/>
      <sheetName val="울산"/>
      <sheetName val="JUYO"/>
      <sheetName val="용연"/>
      <sheetName val="생산량"/>
      <sheetName val="현금예금"/>
      <sheetName val="가격표"/>
      <sheetName val="04고객별 담당자"/>
      <sheetName val="구미2월"/>
      <sheetName val="안양2월"/>
      <sheetName val="부"/>
      <sheetName val="본사재고"/>
      <sheetName val="93상각비"/>
      <sheetName val="Macro"/>
      <sheetName val="제조비용"/>
      <sheetName val="대구"/>
      <sheetName val="구미"/>
      <sheetName val="광주"/>
      <sheetName val="언양"/>
      <sheetName val="진천"/>
      <sheetName val="주요사종참조"/>
      <sheetName val="controll"/>
      <sheetName val="인건비"/>
      <sheetName val="연구실적"/>
      <sheetName val="INFORM"/>
      <sheetName val="기초데이타"/>
      <sheetName val="비용"/>
      <sheetName val="인상효1"/>
      <sheetName val="경영비율 "/>
      <sheetName val="주소"/>
      <sheetName val="간접비 총괄표"/>
      <sheetName val="교수설계"/>
    </sheetNames>
    <sheetDataSet>
      <sheetData sheetId="0" refreshError="1">
        <row r="10">
          <cell r="I10">
            <v>20</v>
          </cell>
          <cell r="J10">
            <v>19</v>
          </cell>
          <cell r="K10">
            <v>18</v>
          </cell>
        </row>
        <row r="11">
          <cell r="I11">
            <v>45.75</v>
          </cell>
          <cell r="J11">
            <v>44.789473684210527</v>
          </cell>
          <cell r="K11">
            <v>45.388888888888886</v>
          </cell>
        </row>
        <row r="12">
          <cell r="I12">
            <v>915</v>
          </cell>
          <cell r="J12">
            <v>851</v>
          </cell>
          <cell r="K12">
            <v>817</v>
          </cell>
        </row>
        <row r="13">
          <cell r="I13">
            <v>6</v>
          </cell>
          <cell r="J13">
            <v>6</v>
          </cell>
          <cell r="K13">
            <v>5</v>
          </cell>
        </row>
        <row r="14">
          <cell r="I14">
            <v>39.5</v>
          </cell>
          <cell r="J14">
            <v>41</v>
          </cell>
          <cell r="K14">
            <v>36.6</v>
          </cell>
        </row>
        <row r="15">
          <cell r="I15">
            <v>237</v>
          </cell>
          <cell r="J15">
            <v>246</v>
          </cell>
          <cell r="K15">
            <v>183</v>
          </cell>
        </row>
        <row r="16">
          <cell r="I16">
            <v>15</v>
          </cell>
          <cell r="J16">
            <v>7</v>
          </cell>
          <cell r="K16">
            <v>8</v>
          </cell>
        </row>
        <row r="17">
          <cell r="I17">
            <v>44.6</v>
          </cell>
          <cell r="J17">
            <v>45.285714285714285</v>
          </cell>
          <cell r="K17">
            <v>41.5</v>
          </cell>
        </row>
        <row r="18">
          <cell r="I18">
            <v>669</v>
          </cell>
          <cell r="J18">
            <v>317</v>
          </cell>
          <cell r="K18">
            <v>332</v>
          </cell>
        </row>
        <row r="19">
          <cell r="I19">
            <v>12</v>
          </cell>
          <cell r="J19">
            <v>12</v>
          </cell>
          <cell r="K19">
            <v>11</v>
          </cell>
        </row>
        <row r="20">
          <cell r="I20">
            <v>40</v>
          </cell>
          <cell r="J20">
            <v>40.583333333333336</v>
          </cell>
          <cell r="K20">
            <v>39.81818181818182</v>
          </cell>
        </row>
        <row r="21">
          <cell r="I21">
            <v>480</v>
          </cell>
          <cell r="J21">
            <v>487</v>
          </cell>
          <cell r="K21">
            <v>438</v>
          </cell>
        </row>
        <row r="22">
          <cell r="K22">
            <v>1</v>
          </cell>
        </row>
        <row r="23">
          <cell r="K23">
            <v>44</v>
          </cell>
        </row>
        <row r="24">
          <cell r="K24">
            <v>44</v>
          </cell>
        </row>
        <row r="40">
          <cell r="I40">
            <v>53</v>
          </cell>
          <cell r="J40">
            <v>44</v>
          </cell>
          <cell r="K40">
            <v>43</v>
          </cell>
        </row>
        <row r="41">
          <cell r="I41">
            <v>43.415094339622641</v>
          </cell>
          <cell r="J41">
            <v>43.204545454545453</v>
          </cell>
          <cell r="K41">
            <v>42.186046511627907</v>
          </cell>
        </row>
        <row r="42">
          <cell r="I42">
            <v>2301</v>
          </cell>
          <cell r="J42">
            <v>1901</v>
          </cell>
          <cell r="K42">
            <v>1814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광주"/>
      <sheetName val="계정별"/>
      <sheetName val="이전비용"/>
      <sheetName val="01예상실적(1안)"/>
      <sheetName val="01예상실적(2안)"/>
      <sheetName val="01예상실적(통합)"/>
      <sheetName val="임금분석"/>
      <sheetName val="교통비"/>
      <sheetName val="예상임금기준"/>
      <sheetName val="예상임금총액"/>
      <sheetName val="01임금계획"/>
      <sheetName val="실적"/>
      <sheetName val="Sheet1"/>
      <sheetName val="**_x0000__x0000_"/>
      <sheetName val="손익월별"/>
      <sheetName val="재무월별"/>
      <sheetName val="인별계획"/>
      <sheetName val="수입월별"/>
      <sheetName val="수출월별"/>
      <sheetName val="기타월별"/>
      <sheetName val="기타수수료"/>
      <sheetName val="TC 11月 AC"/>
      <sheetName val="Sheet3"/>
      <sheetName val="대구"/>
      <sheetName val="용연"/>
      <sheetName val="울산"/>
      <sheetName val="#REF"/>
      <sheetName val="구미"/>
      <sheetName val="언양"/>
      <sheetName val="진천"/>
      <sheetName val="중연"/>
      <sheetName val="▶판매관련"/>
      <sheetName val="▶제조"/>
      <sheetName val="__"/>
      <sheetName val="JUYO"/>
      <sheetName val="일반정보"/>
      <sheetName val="Base"/>
      <sheetName val="▶판매량Trend(수정안)"/>
      <sheetName val="▶판가Trend(수정안)"/>
      <sheetName val="1_05고객별 담당자"/>
      <sheetName val="1_05수익성대비표"/>
      <sheetName val="FAB별"/>
      <sheetName val="**??"/>
      <sheetName val="Beforesyy"/>
      <sheetName val="EXPENSE"/>
      <sheetName val="____"/>
      <sheetName val="고합"/>
      <sheetName val="요약"/>
      <sheetName val="광주공수"/>
      <sheetName val="10고객별 담당자"/>
      <sheetName val="공수관리"/>
      <sheetName val="작업지시"/>
      <sheetName val="Macro"/>
      <sheetName val="HD01"/>
      <sheetName val="매출매입"/>
      <sheetName val="**_x005f_x0000__x005f_x0000_"/>
      <sheetName val="**_x005f_x005f_x005f_x0000__x005f_x005f_x005f_x0000_"/>
      <sheetName val="___x005f_x0000__x005f_x0000_"/>
      <sheetName val="___x005f_x005f_x005f_x0000__x005f_x005f_x005f_x0000_"/>
      <sheetName val="#REF!"/>
      <sheetName val="8호기TEST"/>
      <sheetName val="WORK"/>
      <sheetName val="2010년판매손익"/>
      <sheetName val="2010년 실적"/>
    </sheetNames>
    <sheetDataSet>
      <sheetData sheetId="0" refreshError="1">
        <row r="10">
          <cell r="I10">
            <v>16</v>
          </cell>
          <cell r="J10">
            <v>15</v>
          </cell>
          <cell r="K10">
            <v>15</v>
          </cell>
        </row>
        <row r="11">
          <cell r="I11">
            <v>46.25</v>
          </cell>
          <cell r="J11" t="e">
            <v>#VALUE!</v>
          </cell>
          <cell r="K11">
            <v>48.266666666666666</v>
          </cell>
        </row>
        <row r="12">
          <cell r="I12">
            <v>740</v>
          </cell>
          <cell r="J12" t="e">
            <v>#VALUE!</v>
          </cell>
          <cell r="K12">
            <v>724</v>
          </cell>
        </row>
        <row r="13">
          <cell r="I13">
            <v>2840</v>
          </cell>
          <cell r="J13">
            <v>2650</v>
          </cell>
          <cell r="K13">
            <v>2660</v>
          </cell>
        </row>
        <row r="14">
          <cell r="I14">
            <v>3.8378378378378377</v>
          </cell>
          <cell r="J14" t="e">
            <v>#VALUE!</v>
          </cell>
          <cell r="K14">
            <v>3.6740331491712706</v>
          </cell>
        </row>
        <row r="15">
          <cell r="I15">
            <v>2</v>
          </cell>
          <cell r="J15">
            <v>2</v>
          </cell>
          <cell r="K15">
            <v>2</v>
          </cell>
        </row>
        <row r="16">
          <cell r="I16">
            <v>44.5</v>
          </cell>
          <cell r="J16">
            <v>44.5</v>
          </cell>
          <cell r="K16">
            <v>43.5</v>
          </cell>
        </row>
        <row r="17">
          <cell r="I17">
            <v>89</v>
          </cell>
          <cell r="J17">
            <v>89</v>
          </cell>
          <cell r="K17">
            <v>87</v>
          </cell>
        </row>
        <row r="38">
          <cell r="I38">
            <v>18</v>
          </cell>
          <cell r="J38">
            <v>17</v>
          </cell>
          <cell r="K38">
            <v>17</v>
          </cell>
        </row>
        <row r="39">
          <cell r="I39">
            <v>46.055555555555557</v>
          </cell>
          <cell r="J39" t="e">
            <v>#VALUE!</v>
          </cell>
          <cell r="K39" t="e">
            <v>#VALUE!</v>
          </cell>
        </row>
        <row r="40">
          <cell r="I40">
            <v>829</v>
          </cell>
          <cell r="J40" t="e">
            <v>#VALUE!</v>
          </cell>
          <cell r="K40" t="e">
            <v>#VALUE!</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울산"/>
      <sheetName val="용연"/>
      <sheetName val="중연"/>
      <sheetName val="참고내역"/>
      <sheetName val="광주"/>
      <sheetName val="1.외주공사"/>
      <sheetName val="2.직영공사"/>
      <sheetName val="보정사항"/>
      <sheetName val="진천"/>
      <sheetName val="TNC"/>
      <sheetName val="언양"/>
      <sheetName val="본사인상전"/>
      <sheetName val="서식시트"/>
      <sheetName val="1_06고객별 담당자"/>
      <sheetName val="1_05고객별 담당자"/>
      <sheetName val="1_05수익성대비표"/>
      <sheetName val="10고객별 담당자"/>
      <sheetName val="비용"/>
    </sheetNames>
    <sheetDataSet>
      <sheetData sheetId="0" refreshError="1">
        <row r="10">
          <cell r="I10">
            <v>460</v>
          </cell>
          <cell r="J10">
            <v>460</v>
          </cell>
          <cell r="K10">
            <v>460</v>
          </cell>
        </row>
        <row r="11">
          <cell r="I11">
            <v>49.504347826086956</v>
          </cell>
          <cell r="J11">
            <v>49.504347826086956</v>
          </cell>
          <cell r="K11">
            <v>49.504347826086956</v>
          </cell>
        </row>
        <row r="12">
          <cell r="I12">
            <v>22772</v>
          </cell>
          <cell r="J12">
            <v>22772</v>
          </cell>
          <cell r="K12">
            <v>22772</v>
          </cell>
        </row>
        <row r="13">
          <cell r="I13">
            <v>332</v>
          </cell>
          <cell r="J13">
            <v>332</v>
          </cell>
          <cell r="K13">
            <v>332</v>
          </cell>
        </row>
        <row r="14">
          <cell r="I14">
            <v>48.120481927710841</v>
          </cell>
          <cell r="J14">
            <v>48.120481927710841</v>
          </cell>
          <cell r="K14">
            <v>48.120481927710841</v>
          </cell>
        </row>
        <row r="15">
          <cell r="I15">
            <v>15976</v>
          </cell>
          <cell r="J15">
            <v>15976</v>
          </cell>
          <cell r="K15">
            <v>15976</v>
          </cell>
        </row>
        <row r="16">
          <cell r="I16">
            <v>468</v>
          </cell>
          <cell r="J16">
            <v>468</v>
          </cell>
          <cell r="K16">
            <v>468</v>
          </cell>
        </row>
        <row r="17">
          <cell r="I17">
            <v>47.991452991452988</v>
          </cell>
          <cell r="J17">
            <v>47.991452991452988</v>
          </cell>
          <cell r="K17">
            <v>47.991452991452988</v>
          </cell>
        </row>
        <row r="18">
          <cell r="I18">
            <v>22460</v>
          </cell>
          <cell r="J18">
            <v>22460</v>
          </cell>
          <cell r="K18">
            <v>22460</v>
          </cell>
        </row>
        <row r="19">
          <cell r="I19">
            <v>608</v>
          </cell>
          <cell r="J19">
            <v>608</v>
          </cell>
          <cell r="K19">
            <v>608</v>
          </cell>
        </row>
        <row r="20">
          <cell r="I20">
            <v>47.460526315789473</v>
          </cell>
          <cell r="J20">
            <v>47.460526315789473</v>
          </cell>
          <cell r="K20">
            <v>47.460526315789473</v>
          </cell>
        </row>
        <row r="21">
          <cell r="I21">
            <v>28856</v>
          </cell>
          <cell r="J21">
            <v>28856</v>
          </cell>
          <cell r="K21">
            <v>28856</v>
          </cell>
        </row>
        <row r="22">
          <cell r="I22">
            <v>720</v>
          </cell>
          <cell r="J22">
            <v>720</v>
          </cell>
          <cell r="K22">
            <v>720</v>
          </cell>
        </row>
        <row r="23">
          <cell r="I23">
            <v>46.288888888888891</v>
          </cell>
          <cell r="J23">
            <v>46.288888888888891</v>
          </cell>
          <cell r="K23">
            <v>46.288888888888891</v>
          </cell>
        </row>
        <row r="24">
          <cell r="I24">
            <v>33328</v>
          </cell>
          <cell r="J24">
            <v>33328</v>
          </cell>
          <cell r="K24">
            <v>33328</v>
          </cell>
        </row>
        <row r="25">
          <cell r="I25">
            <v>2588</v>
          </cell>
          <cell r="J25">
            <v>2588</v>
          </cell>
          <cell r="K25">
            <v>2588</v>
          </cell>
        </row>
        <row r="26">
          <cell r="I26">
            <v>47.678516228748066</v>
          </cell>
          <cell r="J26">
            <v>47.678516228748066</v>
          </cell>
          <cell r="K26">
            <v>47.678516228748066</v>
          </cell>
        </row>
        <row r="27">
          <cell r="I27">
            <v>123392</v>
          </cell>
          <cell r="J27">
            <v>123392</v>
          </cell>
          <cell r="K27">
            <v>123392</v>
          </cell>
        </row>
        <row r="28">
          <cell r="I28">
            <v>42776</v>
          </cell>
          <cell r="J28">
            <v>42776</v>
          </cell>
          <cell r="K28">
            <v>42776</v>
          </cell>
        </row>
        <row r="29">
          <cell r="I29">
            <v>0.34666753112033194</v>
          </cell>
          <cell r="J29">
            <v>0.34666753112033194</v>
          </cell>
          <cell r="K29">
            <v>0.34666753112033194</v>
          </cell>
        </row>
        <row r="30">
          <cell r="I30">
            <v>316</v>
          </cell>
          <cell r="J30">
            <v>316</v>
          </cell>
          <cell r="K30">
            <v>316</v>
          </cell>
        </row>
        <row r="31">
          <cell r="I31">
            <v>48.784810126582279</v>
          </cell>
          <cell r="J31">
            <v>48.784810126582279</v>
          </cell>
          <cell r="K31">
            <v>48.784810126582279</v>
          </cell>
        </row>
        <row r="32">
          <cell r="I32">
            <v>15416</v>
          </cell>
          <cell r="J32">
            <v>15416</v>
          </cell>
          <cell r="K32">
            <v>15416</v>
          </cell>
        </row>
        <row r="33">
          <cell r="I33">
            <v>11472</v>
          </cell>
          <cell r="J33">
            <v>11472</v>
          </cell>
          <cell r="K33">
            <v>11472</v>
          </cell>
        </row>
        <row r="34">
          <cell r="I34">
            <v>0.74416190970420337</v>
          </cell>
          <cell r="J34">
            <v>0.74416190970420337</v>
          </cell>
          <cell r="K34">
            <v>0.74416190970420337</v>
          </cell>
        </row>
        <row r="35">
          <cell r="I35">
            <v>1176</v>
          </cell>
          <cell r="J35">
            <v>1176</v>
          </cell>
          <cell r="K35">
            <v>1176</v>
          </cell>
        </row>
        <row r="36">
          <cell r="I36">
            <v>45.751700680272108</v>
          </cell>
          <cell r="J36">
            <v>45.751700680272108</v>
          </cell>
          <cell r="K36">
            <v>45.751700680272108</v>
          </cell>
        </row>
        <row r="37">
          <cell r="I37">
            <v>53804</v>
          </cell>
          <cell r="J37">
            <v>53804</v>
          </cell>
          <cell r="K37">
            <v>53804</v>
          </cell>
        </row>
        <row r="38">
          <cell r="I38">
            <v>440</v>
          </cell>
          <cell r="J38">
            <v>440</v>
          </cell>
          <cell r="K38">
            <v>440</v>
          </cell>
        </row>
        <row r="39">
          <cell r="I39">
            <v>46.490909090909092</v>
          </cell>
          <cell r="J39">
            <v>46.490909090909092</v>
          </cell>
          <cell r="K39">
            <v>46.490909090909092</v>
          </cell>
        </row>
        <row r="40">
          <cell r="I40">
            <v>20456</v>
          </cell>
          <cell r="J40">
            <v>20456</v>
          </cell>
          <cell r="K40">
            <v>20456</v>
          </cell>
        </row>
        <row r="44">
          <cell r="J44" t="str">
            <v xml:space="preserve">  當</v>
          </cell>
        </row>
        <row r="45">
          <cell r="I45" t="str">
            <v xml:space="preserve"> 前年同期 </v>
          </cell>
          <cell r="J45" t="str">
            <v xml:space="preserve">    `95.</v>
          </cell>
        </row>
        <row r="46">
          <cell r="J46" t="str">
            <v xml:space="preserve"> 計  劃</v>
          </cell>
          <cell r="K46" t="str">
            <v xml:space="preserve"> 實  績</v>
          </cell>
        </row>
        <row r="47">
          <cell r="I47">
            <v>348</v>
          </cell>
          <cell r="J47">
            <v>348</v>
          </cell>
          <cell r="K47">
            <v>348</v>
          </cell>
        </row>
        <row r="48">
          <cell r="I48">
            <v>47.149425287356323</v>
          </cell>
          <cell r="J48">
            <v>47.149425287356323</v>
          </cell>
          <cell r="K48">
            <v>47.149425287356323</v>
          </cell>
        </row>
        <row r="49">
          <cell r="I49">
            <v>16408</v>
          </cell>
          <cell r="J49">
            <v>16408</v>
          </cell>
          <cell r="K49">
            <v>16408</v>
          </cell>
        </row>
        <row r="50">
          <cell r="I50">
            <v>1964</v>
          </cell>
          <cell r="J50">
            <v>1964</v>
          </cell>
          <cell r="K50">
            <v>1964</v>
          </cell>
        </row>
        <row r="51">
          <cell r="I51">
            <v>46.164969450101836</v>
          </cell>
          <cell r="J51">
            <v>46.164969450101836</v>
          </cell>
          <cell r="K51">
            <v>46.164969450101836</v>
          </cell>
        </row>
        <row r="52">
          <cell r="I52">
            <v>90668</v>
          </cell>
          <cell r="J52">
            <v>90668</v>
          </cell>
          <cell r="K52">
            <v>90668</v>
          </cell>
        </row>
        <row r="53">
          <cell r="I53">
            <v>15764</v>
          </cell>
          <cell r="J53">
            <v>15764</v>
          </cell>
          <cell r="K53">
            <v>15764</v>
          </cell>
        </row>
        <row r="54">
          <cell r="I54">
            <v>0.17386509021926147</v>
          </cell>
          <cell r="J54">
            <v>0.17386509021926147</v>
          </cell>
          <cell r="K54">
            <v>0.17386509021926147</v>
          </cell>
        </row>
        <row r="55">
          <cell r="I55">
            <v>80</v>
          </cell>
          <cell r="J55">
            <v>80</v>
          </cell>
          <cell r="K55">
            <v>80</v>
          </cell>
        </row>
        <row r="56">
          <cell r="I56">
            <v>42.4</v>
          </cell>
          <cell r="J56">
            <v>42.4</v>
          </cell>
          <cell r="K56">
            <v>42.4</v>
          </cell>
        </row>
        <row r="57">
          <cell r="I57">
            <v>3392</v>
          </cell>
          <cell r="J57">
            <v>3392</v>
          </cell>
          <cell r="K57">
            <v>3392</v>
          </cell>
        </row>
        <row r="58">
          <cell r="I58">
            <v>112</v>
          </cell>
          <cell r="J58">
            <v>112</v>
          </cell>
          <cell r="K58">
            <v>112</v>
          </cell>
        </row>
        <row r="59">
          <cell r="I59">
            <v>42.5</v>
          </cell>
          <cell r="J59">
            <v>42.5</v>
          </cell>
          <cell r="K59">
            <v>42.5</v>
          </cell>
        </row>
        <row r="60">
          <cell r="I60">
            <v>4760</v>
          </cell>
          <cell r="J60">
            <v>4760</v>
          </cell>
          <cell r="K60">
            <v>4760</v>
          </cell>
        </row>
        <row r="61">
          <cell r="I61">
            <v>192</v>
          </cell>
          <cell r="J61">
            <v>192</v>
          </cell>
          <cell r="K61">
            <v>192</v>
          </cell>
        </row>
        <row r="62">
          <cell r="I62">
            <v>42.458333333333336</v>
          </cell>
          <cell r="J62">
            <v>42.458333333333336</v>
          </cell>
          <cell r="K62">
            <v>42.458333333333336</v>
          </cell>
        </row>
        <row r="63">
          <cell r="I63">
            <v>8152</v>
          </cell>
          <cell r="J63">
            <v>8152</v>
          </cell>
          <cell r="K63">
            <v>8152</v>
          </cell>
        </row>
        <row r="64">
          <cell r="I64">
            <v>76</v>
          </cell>
          <cell r="J64">
            <v>76</v>
          </cell>
          <cell r="K64">
            <v>76</v>
          </cell>
        </row>
        <row r="65">
          <cell r="I65">
            <v>47.263157894736842</v>
          </cell>
          <cell r="J65">
            <v>47.263157894736842</v>
          </cell>
          <cell r="K65">
            <v>47.263157894736842</v>
          </cell>
        </row>
        <row r="66">
          <cell r="I66">
            <v>3592</v>
          </cell>
          <cell r="J66">
            <v>3592</v>
          </cell>
          <cell r="K66">
            <v>3592</v>
          </cell>
        </row>
        <row r="67">
          <cell r="I67">
            <v>80</v>
          </cell>
          <cell r="J67">
            <v>80</v>
          </cell>
          <cell r="K67">
            <v>80</v>
          </cell>
        </row>
        <row r="68">
          <cell r="I68">
            <v>44.05</v>
          </cell>
          <cell r="J68">
            <v>44.05</v>
          </cell>
          <cell r="K68">
            <v>44.05</v>
          </cell>
        </row>
        <row r="69">
          <cell r="I69">
            <v>3524</v>
          </cell>
          <cell r="J69">
            <v>3524</v>
          </cell>
          <cell r="K69">
            <v>3524</v>
          </cell>
        </row>
        <row r="70">
          <cell r="I70">
            <v>156</v>
          </cell>
          <cell r="J70">
            <v>156</v>
          </cell>
          <cell r="K70">
            <v>156</v>
          </cell>
        </row>
        <row r="71">
          <cell r="I71">
            <v>45.615384615384613</v>
          </cell>
          <cell r="J71">
            <v>45.615384615384613</v>
          </cell>
          <cell r="K71">
            <v>45.615384615384613</v>
          </cell>
        </row>
        <row r="72">
          <cell r="I72">
            <v>7116</v>
          </cell>
          <cell r="J72">
            <v>7116</v>
          </cell>
          <cell r="K72">
            <v>7116</v>
          </cell>
        </row>
        <row r="73">
          <cell r="I73">
            <v>296</v>
          </cell>
          <cell r="J73">
            <v>296</v>
          </cell>
          <cell r="K73">
            <v>296</v>
          </cell>
        </row>
        <row r="74">
          <cell r="I74">
            <v>44.216216216216218</v>
          </cell>
          <cell r="J74">
            <v>44.216216216216218</v>
          </cell>
          <cell r="K74">
            <v>44.216216216216218</v>
          </cell>
        </row>
        <row r="75">
          <cell r="I75">
            <v>13088</v>
          </cell>
          <cell r="J75">
            <v>13088</v>
          </cell>
          <cell r="K75">
            <v>13088</v>
          </cell>
        </row>
        <row r="76">
          <cell r="I76">
            <v>168</v>
          </cell>
          <cell r="J76">
            <v>168</v>
          </cell>
          <cell r="K76">
            <v>168</v>
          </cell>
        </row>
        <row r="77">
          <cell r="I77">
            <v>46.142857142857146</v>
          </cell>
          <cell r="J77">
            <v>46.142857142857146</v>
          </cell>
          <cell r="K77">
            <v>46.142857142857146</v>
          </cell>
        </row>
        <row r="78">
          <cell r="I78">
            <v>7752</v>
          </cell>
          <cell r="J78">
            <v>7752</v>
          </cell>
          <cell r="K78">
            <v>7752</v>
          </cell>
        </row>
        <row r="79">
          <cell r="I79">
            <v>464</v>
          </cell>
          <cell r="J79">
            <v>464</v>
          </cell>
          <cell r="K79">
            <v>464</v>
          </cell>
        </row>
        <row r="80">
          <cell r="I80">
            <v>44.913793103448278</v>
          </cell>
          <cell r="J80">
            <v>44.913793103448278</v>
          </cell>
          <cell r="K80">
            <v>44.913793103448278</v>
          </cell>
        </row>
        <row r="81">
          <cell r="I81">
            <v>20840</v>
          </cell>
          <cell r="J81">
            <v>20840</v>
          </cell>
          <cell r="K81">
            <v>20840</v>
          </cell>
        </row>
        <row r="85">
          <cell r="J85" t="str">
            <v xml:space="preserve">  當</v>
          </cell>
        </row>
        <row r="86">
          <cell r="I86" t="str">
            <v xml:space="preserve"> 前年同期 </v>
          </cell>
          <cell r="J86" t="str">
            <v xml:space="preserve">    `95.</v>
          </cell>
        </row>
        <row r="87">
          <cell r="J87" t="str">
            <v xml:space="preserve"> 計  劃</v>
          </cell>
          <cell r="K87" t="str">
            <v xml:space="preserve"> 實  績</v>
          </cell>
        </row>
        <row r="88">
          <cell r="I88">
            <v>8</v>
          </cell>
          <cell r="J88">
            <v>8</v>
          </cell>
          <cell r="K88">
            <v>8</v>
          </cell>
        </row>
        <row r="89">
          <cell r="I89">
            <v>43.5</v>
          </cell>
          <cell r="J89">
            <v>43.5</v>
          </cell>
          <cell r="K89">
            <v>43.5</v>
          </cell>
        </row>
        <row r="90">
          <cell r="I90">
            <v>348</v>
          </cell>
          <cell r="J90">
            <v>348</v>
          </cell>
          <cell r="K90">
            <v>348</v>
          </cell>
        </row>
        <row r="91">
          <cell r="I91">
            <v>12</v>
          </cell>
          <cell r="J91">
            <v>12</v>
          </cell>
          <cell r="K91">
            <v>12</v>
          </cell>
        </row>
        <row r="92">
          <cell r="I92">
            <v>49</v>
          </cell>
          <cell r="J92">
            <v>49</v>
          </cell>
          <cell r="K92">
            <v>49</v>
          </cell>
        </row>
        <row r="93">
          <cell r="I93">
            <v>588</v>
          </cell>
          <cell r="J93">
            <v>588</v>
          </cell>
          <cell r="K93">
            <v>588</v>
          </cell>
        </row>
        <row r="94">
          <cell r="I94">
            <v>20</v>
          </cell>
          <cell r="J94">
            <v>20</v>
          </cell>
          <cell r="K94">
            <v>20</v>
          </cell>
        </row>
        <row r="95">
          <cell r="I95">
            <v>46.8</v>
          </cell>
          <cell r="J95">
            <v>46.8</v>
          </cell>
          <cell r="K95">
            <v>46.8</v>
          </cell>
        </row>
        <row r="96">
          <cell r="I96">
            <v>936</v>
          </cell>
          <cell r="J96">
            <v>936</v>
          </cell>
          <cell r="K96">
            <v>936</v>
          </cell>
        </row>
        <row r="97">
          <cell r="I97">
            <v>0</v>
          </cell>
          <cell r="J97">
            <v>0</v>
          </cell>
          <cell r="K97">
            <v>0</v>
          </cell>
        </row>
        <row r="98">
          <cell r="I98" t="e">
            <v>#DIV/0!</v>
          </cell>
        </row>
        <row r="99">
          <cell r="I99">
            <v>0</v>
          </cell>
          <cell r="J99">
            <v>0</v>
          </cell>
          <cell r="K99">
            <v>0</v>
          </cell>
        </row>
        <row r="100">
          <cell r="I100">
            <v>20</v>
          </cell>
          <cell r="J100">
            <v>20</v>
          </cell>
          <cell r="K100">
            <v>20</v>
          </cell>
        </row>
        <row r="101">
          <cell r="I101">
            <v>48</v>
          </cell>
          <cell r="J101">
            <v>48</v>
          </cell>
          <cell r="K101">
            <v>48</v>
          </cell>
        </row>
        <row r="102">
          <cell r="I102">
            <v>960</v>
          </cell>
          <cell r="J102">
            <v>960</v>
          </cell>
          <cell r="K102">
            <v>960</v>
          </cell>
        </row>
        <row r="103">
          <cell r="I103">
            <v>0</v>
          </cell>
          <cell r="J103">
            <v>0</v>
          </cell>
          <cell r="K103">
            <v>0</v>
          </cell>
        </row>
        <row r="104">
          <cell r="I104" t="e">
            <v>#DIV/0!</v>
          </cell>
          <cell r="J104" t="e">
            <v>#DIV/0!</v>
          </cell>
          <cell r="K104" t="e">
            <v>#DIV/0!</v>
          </cell>
        </row>
        <row r="105">
          <cell r="I105">
            <v>0</v>
          </cell>
          <cell r="J105">
            <v>0</v>
          </cell>
          <cell r="K105">
            <v>0</v>
          </cell>
        </row>
        <row r="106">
          <cell r="I106">
            <v>0</v>
          </cell>
          <cell r="J106">
            <v>0</v>
          </cell>
          <cell r="K106">
            <v>0</v>
          </cell>
        </row>
        <row r="107">
          <cell r="I107" t="e">
            <v>#DIV/0!</v>
          </cell>
        </row>
        <row r="108">
          <cell r="I108">
            <v>0</v>
          </cell>
          <cell r="J108">
            <v>0</v>
          </cell>
          <cell r="K108">
            <v>0</v>
          </cell>
        </row>
        <row r="118">
          <cell r="I118">
            <v>5720</v>
          </cell>
          <cell r="J118">
            <v>5720</v>
          </cell>
          <cell r="K118">
            <v>5720</v>
          </cell>
        </row>
        <row r="119">
          <cell r="I119">
            <v>46.76223776223776</v>
          </cell>
          <cell r="J119">
            <v>46.76223776223776</v>
          </cell>
          <cell r="K119">
            <v>46.76223776223776</v>
          </cell>
        </row>
        <row r="120">
          <cell r="I120">
            <v>267480</v>
          </cell>
          <cell r="J120">
            <v>267480</v>
          </cell>
          <cell r="K120">
            <v>267480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반드시"/>
      <sheetName val="참고"/>
      <sheetName val="SKIN실적"/>
      <sheetName val="SKINscrap"/>
      <sheetName val="FOAM실적"/>
      <sheetName val="FOAMscrap"/>
      <sheetName val="TRIMG"/>
      <sheetName val="최종실적"/>
      <sheetName val="납품-환입"/>
      <sheetName val="근태현황"/>
      <sheetName val="표지"/>
      <sheetName val="실적현황 요약"/>
      <sheetName val="실적ab비교"/>
      <sheetName val="납품현황"/>
      <sheetName val="생산성현황A조"/>
      <sheetName val="생산성현황B조"/>
      <sheetName val="손실비용"/>
      <sheetName val="손실비용A"/>
      <sheetName val="손실비용B"/>
      <sheetName val="직행율A"/>
      <sheetName val="직행율B"/>
      <sheetName val="설비고장"/>
      <sheetName val="평가결과"/>
      <sheetName val="카메라"/>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sheetData sheetId="16" refreshError="1"/>
      <sheetData sheetId="17"/>
      <sheetData sheetId="18"/>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근태현황"/>
      <sheetName val="Sheet1"/>
      <sheetName val="Sheet2"/>
      <sheetName val="Sheet3"/>
    </sheetNames>
    <sheetDataSet>
      <sheetData sheetId="0">
        <row r="4">
          <cell r="D4">
            <v>136</v>
          </cell>
          <cell r="E4">
            <v>144</v>
          </cell>
          <cell r="F4">
            <v>144</v>
          </cell>
          <cell r="G4">
            <v>72</v>
          </cell>
          <cell r="I4">
            <v>144</v>
          </cell>
          <cell r="J4">
            <v>160</v>
          </cell>
          <cell r="K4">
            <v>160</v>
          </cell>
          <cell r="L4">
            <v>160</v>
          </cell>
          <cell r="M4">
            <v>160</v>
          </cell>
          <cell r="N4">
            <v>80</v>
          </cell>
          <cell r="P4">
            <v>160</v>
          </cell>
          <cell r="Q4">
            <v>160</v>
          </cell>
          <cell r="R4">
            <v>160</v>
          </cell>
          <cell r="S4">
            <v>160</v>
          </cell>
          <cell r="T4">
            <v>160</v>
          </cell>
          <cell r="U4">
            <v>80</v>
          </cell>
          <cell r="W4">
            <v>160</v>
          </cell>
          <cell r="X4">
            <v>160</v>
          </cell>
          <cell r="Y4">
            <v>160</v>
          </cell>
          <cell r="Z4">
            <v>160</v>
          </cell>
          <cell r="AA4">
            <v>160</v>
          </cell>
          <cell r="AB4">
            <v>112</v>
          </cell>
          <cell r="AD4">
            <v>160</v>
          </cell>
          <cell r="AE4">
            <v>160</v>
          </cell>
          <cell r="AH4">
            <v>3472</v>
          </cell>
        </row>
        <row r="5">
          <cell r="J5">
            <v>4</v>
          </cell>
          <cell r="K5">
            <v>4</v>
          </cell>
          <cell r="L5">
            <v>2</v>
          </cell>
          <cell r="S5">
            <v>8</v>
          </cell>
          <cell r="U5">
            <v>3.5</v>
          </cell>
          <cell r="W5">
            <v>16</v>
          </cell>
          <cell r="X5">
            <v>16</v>
          </cell>
          <cell r="Y5">
            <v>8</v>
          </cell>
          <cell r="Z5">
            <v>2</v>
          </cell>
          <cell r="AD5">
            <v>7</v>
          </cell>
          <cell r="AH5">
            <v>70.5</v>
          </cell>
        </row>
        <row r="6">
          <cell r="C6">
            <v>0</v>
          </cell>
          <cell r="D6">
            <v>41</v>
          </cell>
          <cell r="E6">
            <v>40.5</v>
          </cell>
          <cell r="F6">
            <v>4.5</v>
          </cell>
          <cell r="G6">
            <v>4.5</v>
          </cell>
          <cell r="H6">
            <v>0</v>
          </cell>
          <cell r="I6">
            <v>10.5</v>
          </cell>
          <cell r="J6">
            <v>8</v>
          </cell>
          <cell r="K6">
            <v>15.5</v>
          </cell>
          <cell r="L6">
            <v>25.5</v>
          </cell>
          <cell r="M6">
            <v>16.5</v>
          </cell>
          <cell r="N6">
            <v>0</v>
          </cell>
          <cell r="O6">
            <v>0</v>
          </cell>
          <cell r="P6">
            <v>43</v>
          </cell>
          <cell r="Q6">
            <v>46.5</v>
          </cell>
          <cell r="R6">
            <v>11</v>
          </cell>
          <cell r="S6">
            <v>0</v>
          </cell>
          <cell r="T6">
            <v>49</v>
          </cell>
          <cell r="U6">
            <v>6.5</v>
          </cell>
          <cell r="W6">
            <v>0</v>
          </cell>
          <cell r="X6">
            <v>38</v>
          </cell>
          <cell r="Y6">
            <v>26.5</v>
          </cell>
          <cell r="Z6">
            <v>42.5</v>
          </cell>
          <cell r="AA6">
            <v>0</v>
          </cell>
          <cell r="AB6">
            <v>0</v>
          </cell>
          <cell r="AD6">
            <v>48.5</v>
          </cell>
          <cell r="AE6">
            <v>49</v>
          </cell>
          <cell r="AH6">
            <v>527</v>
          </cell>
        </row>
        <row r="7">
          <cell r="C7">
            <v>0</v>
          </cell>
          <cell r="D7">
            <v>9.5</v>
          </cell>
          <cell r="E7">
            <v>0.5</v>
          </cell>
          <cell r="F7">
            <v>54</v>
          </cell>
          <cell r="G7">
            <v>0</v>
          </cell>
          <cell r="H7">
            <v>0</v>
          </cell>
          <cell r="I7">
            <v>23.5</v>
          </cell>
          <cell r="J7">
            <v>19</v>
          </cell>
          <cell r="K7">
            <v>5</v>
          </cell>
          <cell r="L7">
            <v>0</v>
          </cell>
          <cell r="M7">
            <v>19.5</v>
          </cell>
          <cell r="N7">
            <v>80</v>
          </cell>
          <cell r="O7">
            <v>0</v>
          </cell>
          <cell r="P7">
            <v>0</v>
          </cell>
          <cell r="Q7">
            <v>8</v>
          </cell>
          <cell r="R7">
            <v>0</v>
          </cell>
          <cell r="S7">
            <v>2</v>
          </cell>
          <cell r="T7">
            <v>20.329999999999998</v>
          </cell>
          <cell r="U7">
            <v>0</v>
          </cell>
          <cell r="V7">
            <v>0</v>
          </cell>
          <cell r="W7">
            <v>23.1</v>
          </cell>
          <cell r="X7">
            <v>5</v>
          </cell>
          <cell r="Y7">
            <v>8</v>
          </cell>
          <cell r="Z7">
            <v>17.5</v>
          </cell>
          <cell r="AA7">
            <v>41.16</v>
          </cell>
          <cell r="AB7">
            <v>56</v>
          </cell>
          <cell r="AC7">
            <v>0</v>
          </cell>
          <cell r="AD7">
            <v>1.5</v>
          </cell>
          <cell r="AE7">
            <v>0</v>
          </cell>
          <cell r="AF7">
            <v>0</v>
          </cell>
          <cell r="AG7">
            <v>0</v>
          </cell>
          <cell r="AH7">
            <v>393.59000000000003</v>
          </cell>
        </row>
        <row r="8">
          <cell r="D8">
            <v>9.5</v>
          </cell>
          <cell r="I8">
            <v>16</v>
          </cell>
          <cell r="J8">
            <v>3</v>
          </cell>
          <cell r="AA8">
            <v>13</v>
          </cell>
          <cell r="AH8">
            <v>41.5</v>
          </cell>
        </row>
        <row r="9">
          <cell r="J9">
            <v>1.5</v>
          </cell>
          <cell r="N9">
            <v>44</v>
          </cell>
          <cell r="T9">
            <v>16</v>
          </cell>
          <cell r="AA9">
            <v>10.83</v>
          </cell>
          <cell r="AB9">
            <v>14</v>
          </cell>
          <cell r="AH9">
            <v>86.33</v>
          </cell>
        </row>
        <row r="10">
          <cell r="I10">
            <v>1.5</v>
          </cell>
          <cell r="K10">
            <v>2</v>
          </cell>
          <cell r="M10">
            <v>14</v>
          </cell>
          <cell r="S10">
            <v>2</v>
          </cell>
          <cell r="T10">
            <v>0.83</v>
          </cell>
          <cell r="W10">
            <v>23.1</v>
          </cell>
          <cell r="X10">
            <v>1</v>
          </cell>
          <cell r="Y10">
            <v>8</v>
          </cell>
          <cell r="AA10">
            <v>1.33</v>
          </cell>
          <cell r="AD10">
            <v>1.5</v>
          </cell>
          <cell r="AH10">
            <v>55.26</v>
          </cell>
        </row>
        <row r="11">
          <cell r="E11">
            <v>0.5</v>
          </cell>
          <cell r="F11">
            <v>1</v>
          </cell>
          <cell r="I11">
            <v>2</v>
          </cell>
          <cell r="T11">
            <v>3.5</v>
          </cell>
        </row>
        <row r="12">
          <cell r="F12">
            <v>1</v>
          </cell>
          <cell r="N12">
            <v>36</v>
          </cell>
          <cell r="AB12">
            <v>42</v>
          </cell>
        </row>
        <row r="13">
          <cell r="J13">
            <v>7.5</v>
          </cell>
          <cell r="K13">
            <v>1</v>
          </cell>
        </row>
        <row r="14">
          <cell r="F14">
            <v>52</v>
          </cell>
          <cell r="I14">
            <v>4</v>
          </cell>
          <cell r="J14">
            <v>7</v>
          </cell>
          <cell r="M14">
            <v>5.5</v>
          </cell>
          <cell r="X14">
            <v>4</v>
          </cell>
          <cell r="Z14">
            <v>17.5</v>
          </cell>
          <cell r="AA14">
            <v>12</v>
          </cell>
        </row>
        <row r="15">
          <cell r="AH15">
            <v>0</v>
          </cell>
        </row>
        <row r="16">
          <cell r="K16">
            <v>2</v>
          </cell>
          <cell r="Q16">
            <v>8</v>
          </cell>
          <cell r="AA16">
            <v>4</v>
          </cell>
          <cell r="AH16">
            <v>14</v>
          </cell>
        </row>
        <row r="17">
          <cell r="D17">
            <v>160</v>
          </cell>
          <cell r="E17">
            <v>160</v>
          </cell>
          <cell r="F17">
            <v>160</v>
          </cell>
          <cell r="G17">
            <v>80</v>
          </cell>
          <cell r="I17">
            <v>160</v>
          </cell>
          <cell r="J17">
            <v>160</v>
          </cell>
          <cell r="K17">
            <v>160</v>
          </cell>
          <cell r="L17">
            <v>160</v>
          </cell>
          <cell r="M17">
            <v>160</v>
          </cell>
          <cell r="P17">
            <v>160</v>
          </cell>
          <cell r="Q17">
            <v>160</v>
          </cell>
          <cell r="R17">
            <v>160</v>
          </cell>
          <cell r="S17">
            <v>160</v>
          </cell>
          <cell r="T17">
            <v>160</v>
          </cell>
          <cell r="U17">
            <v>80</v>
          </cell>
          <cell r="W17">
            <v>160</v>
          </cell>
          <cell r="X17">
            <v>160</v>
          </cell>
          <cell r="Y17">
            <v>160</v>
          </cell>
          <cell r="Z17">
            <v>160</v>
          </cell>
          <cell r="AA17">
            <v>160</v>
          </cell>
          <cell r="AD17">
            <v>160</v>
          </cell>
          <cell r="AE17">
            <v>160</v>
          </cell>
          <cell r="AH17">
            <v>3360</v>
          </cell>
        </row>
        <row r="18">
          <cell r="E18">
            <v>4</v>
          </cell>
          <cell r="F18">
            <v>8</v>
          </cell>
          <cell r="G18">
            <v>4</v>
          </cell>
          <cell r="I18">
            <v>8</v>
          </cell>
          <cell r="J18">
            <v>16</v>
          </cell>
          <cell r="M18">
            <v>14</v>
          </cell>
          <cell r="P18">
            <v>8</v>
          </cell>
          <cell r="Q18">
            <v>8</v>
          </cell>
          <cell r="S18">
            <v>4</v>
          </cell>
          <cell r="T18">
            <v>8</v>
          </cell>
          <cell r="U18">
            <v>4</v>
          </cell>
          <cell r="X18">
            <v>4.5</v>
          </cell>
          <cell r="AD18">
            <v>10</v>
          </cell>
          <cell r="AE18">
            <v>4</v>
          </cell>
          <cell r="AH18">
            <v>104.5</v>
          </cell>
        </row>
        <row r="19">
          <cell r="C19">
            <v>0</v>
          </cell>
          <cell r="D19">
            <v>12</v>
          </cell>
          <cell r="E19">
            <v>35.5</v>
          </cell>
          <cell r="F19">
            <v>3</v>
          </cell>
          <cell r="G19">
            <v>2.5</v>
          </cell>
          <cell r="H19">
            <v>0</v>
          </cell>
          <cell r="I19">
            <v>41</v>
          </cell>
          <cell r="J19">
            <v>46.5</v>
          </cell>
          <cell r="K19">
            <v>24</v>
          </cell>
          <cell r="L19">
            <v>56.5</v>
          </cell>
          <cell r="M19">
            <v>34.5</v>
          </cell>
          <cell r="N19">
            <v>0</v>
          </cell>
          <cell r="O19">
            <v>0</v>
          </cell>
          <cell r="P19">
            <v>28.5</v>
          </cell>
          <cell r="Q19">
            <v>14</v>
          </cell>
          <cell r="R19">
            <v>9</v>
          </cell>
          <cell r="S19">
            <v>30.5</v>
          </cell>
          <cell r="T19">
            <v>32.5</v>
          </cell>
          <cell r="U19">
            <v>41.5</v>
          </cell>
          <cell r="W19">
            <v>45</v>
          </cell>
          <cell r="X19">
            <v>46.5</v>
          </cell>
          <cell r="Y19">
            <v>11.5</v>
          </cell>
          <cell r="Z19">
            <v>45.5</v>
          </cell>
          <cell r="AA19">
            <v>9.5</v>
          </cell>
          <cell r="AD19">
            <v>17</v>
          </cell>
          <cell r="AE19">
            <v>33</v>
          </cell>
          <cell r="AH19">
            <v>619.5</v>
          </cell>
        </row>
        <row r="20">
          <cell r="C20">
            <v>0</v>
          </cell>
          <cell r="D20">
            <v>19.5</v>
          </cell>
          <cell r="E20">
            <v>20.416666666666668</v>
          </cell>
          <cell r="F20">
            <v>18.833333333333332</v>
          </cell>
          <cell r="G20">
            <v>8.75</v>
          </cell>
          <cell r="H20">
            <v>0</v>
          </cell>
          <cell r="I20">
            <v>4</v>
          </cell>
          <cell r="J20">
            <v>24.5</v>
          </cell>
          <cell r="K20">
            <v>0</v>
          </cell>
          <cell r="L20">
            <v>22.5</v>
          </cell>
          <cell r="M20">
            <v>56.5</v>
          </cell>
          <cell r="N20">
            <v>0</v>
          </cell>
          <cell r="O20">
            <v>0</v>
          </cell>
          <cell r="P20">
            <v>20</v>
          </cell>
          <cell r="Q20">
            <v>0</v>
          </cell>
          <cell r="R20">
            <v>3</v>
          </cell>
          <cell r="S20">
            <v>5</v>
          </cell>
          <cell r="T20">
            <v>11.5</v>
          </cell>
          <cell r="U20">
            <v>39</v>
          </cell>
          <cell r="V20">
            <v>0</v>
          </cell>
          <cell r="W20">
            <v>0.5</v>
          </cell>
          <cell r="X20">
            <v>55</v>
          </cell>
          <cell r="Y20">
            <v>10</v>
          </cell>
          <cell r="Z20">
            <v>35</v>
          </cell>
          <cell r="AA20">
            <v>20</v>
          </cell>
          <cell r="AB20">
            <v>0</v>
          </cell>
          <cell r="AC20">
            <v>0</v>
          </cell>
          <cell r="AD20">
            <v>48</v>
          </cell>
          <cell r="AE20">
            <v>0</v>
          </cell>
          <cell r="AF20">
            <v>0</v>
          </cell>
          <cell r="AG20">
            <v>0</v>
          </cell>
          <cell r="AH20">
            <v>422</v>
          </cell>
        </row>
        <row r="21">
          <cell r="D21">
            <v>10.5</v>
          </cell>
          <cell r="F21">
            <v>16</v>
          </cell>
          <cell r="X21">
            <v>7.5</v>
          </cell>
          <cell r="AH21">
            <v>34</v>
          </cell>
        </row>
        <row r="22">
          <cell r="E22">
            <v>10.5</v>
          </cell>
          <cell r="J22">
            <v>7</v>
          </cell>
          <cell r="T22">
            <v>4</v>
          </cell>
          <cell r="U22">
            <v>12</v>
          </cell>
          <cell r="Z22">
            <v>15</v>
          </cell>
          <cell r="AH22">
            <v>48.5</v>
          </cell>
        </row>
        <row r="23">
          <cell r="D23">
            <v>9</v>
          </cell>
          <cell r="E23">
            <v>3.75</v>
          </cell>
          <cell r="F23">
            <v>0.83333333333333337</v>
          </cell>
          <cell r="I23">
            <v>0.5</v>
          </cell>
          <cell r="L23">
            <v>22.5</v>
          </cell>
          <cell r="M23">
            <v>56.5</v>
          </cell>
          <cell r="S23">
            <v>4</v>
          </cell>
          <cell r="T23">
            <v>6.5</v>
          </cell>
          <cell r="W23">
            <v>0.5</v>
          </cell>
          <cell r="X23">
            <v>37.5</v>
          </cell>
          <cell r="AD23">
            <v>40</v>
          </cell>
          <cell r="AH23">
            <v>181.58333333333334</v>
          </cell>
        </row>
        <row r="24">
          <cell r="E24">
            <v>0.5</v>
          </cell>
          <cell r="I24">
            <v>3.5</v>
          </cell>
          <cell r="J24">
            <v>7</v>
          </cell>
        </row>
        <row r="25">
          <cell r="G25">
            <v>5</v>
          </cell>
          <cell r="U25">
            <v>24</v>
          </cell>
        </row>
        <row r="27">
          <cell r="E27">
            <v>1.6666666666666667</v>
          </cell>
          <cell r="F27">
            <v>2</v>
          </cell>
          <cell r="G27">
            <v>3.75</v>
          </cell>
          <cell r="J27">
            <v>10.5</v>
          </cell>
          <cell r="X27">
            <v>10</v>
          </cell>
          <cell r="AA27">
            <v>20</v>
          </cell>
          <cell r="AD27">
            <v>8</v>
          </cell>
        </row>
        <row r="28">
          <cell r="AH28">
            <v>0</v>
          </cell>
        </row>
        <row r="29">
          <cell r="E29">
            <v>4</v>
          </cell>
          <cell r="P29">
            <v>20</v>
          </cell>
          <cell r="R29">
            <v>3</v>
          </cell>
          <cell r="S29">
            <v>1</v>
          </cell>
          <cell r="T29">
            <v>1</v>
          </cell>
          <cell r="U29">
            <v>3</v>
          </cell>
          <cell r="Y29">
            <v>10</v>
          </cell>
          <cell r="Z29">
            <v>20</v>
          </cell>
          <cell r="AH29">
            <v>62</v>
          </cell>
        </row>
      </sheetData>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총괄"/>
      <sheetName val="Macro"/>
      <sheetName val="추정703"/>
      <sheetName val="진천"/>
      <sheetName val="요약"/>
      <sheetName val="BSM9601"/>
      <sheetName val="중연"/>
      <sheetName val="#REF"/>
      <sheetName val="T&amp;C"/>
      <sheetName val="버튼"/>
      <sheetName val="울산"/>
      <sheetName val="타사비교(13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1"/>
      <sheetName val="수불부"/>
      <sheetName val="구미2월"/>
      <sheetName val="안양2월"/>
      <sheetName val="참고"/>
      <sheetName val="경영비율 "/>
      <sheetName val=""/>
      <sheetName val="제조원가명세서"/>
      <sheetName val="중연"/>
      <sheetName val="04고객별 담당자"/>
      <sheetName val="JUYO"/>
      <sheetName val="판가"/>
      <sheetName val="CHAB"/>
      <sheetName val="언양"/>
      <sheetName val="주소"/>
      <sheetName val="손익총괄"/>
      <sheetName val="6.CF"/>
      <sheetName val="풍량"/>
      <sheetName val="TNC(1안)"/>
      <sheetName val="울산"/>
      <sheetName val="청도 년도별 손익 (RMB)"/>
      <sheetName val="1-12월"/>
      <sheetName val="정율표"/>
      <sheetName val="샘플_생관"/>
      <sheetName val="대구"/>
      <sheetName val="#REF"/>
      <sheetName val="월급제인원실적"/>
      <sheetName val="일급제인원실적"/>
      <sheetName val="산자강선PU(배부후)"/>
      <sheetName val="인상안"/>
      <sheetName val="1급갑"/>
      <sheetName val="버튼"/>
      <sheetName val="controll"/>
      <sheetName val="첨부.지수현황상세"/>
      <sheetName val="Macro"/>
      <sheetName val="07제품별수익성"/>
      <sheetName val="예산내역서"/>
      <sheetName val="2_2_2.ROIC월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언양"/>
      <sheetName val="대구"/>
      <sheetName val="#REF"/>
      <sheetName val="손익총괄"/>
      <sheetName val="비용"/>
      <sheetName val="TEMP"/>
      <sheetName val="수정시산표"/>
      <sheetName val="어음수표추가테스트"/>
      <sheetName val="Sheet1"/>
      <sheetName val="수불부"/>
      <sheetName val="거래선별 매출현황 내역"/>
      <sheetName val="JA"/>
      <sheetName val="07제품별수익성"/>
      <sheetName val="광주"/>
      <sheetName val="울산"/>
      <sheetName val="진천"/>
      <sheetName val="06제품별수익성"/>
      <sheetName val="품종 교체"/>
      <sheetName val="집계표"/>
      <sheetName val="TEMP2"/>
      <sheetName val="TEMP1"/>
      <sheetName val="그룹"/>
      <sheetName val="요약"/>
      <sheetName val="Macro"/>
      <sheetName val="태광"/>
      <sheetName val="1-12월"/>
      <sheetName val="구미"/>
      <sheetName val="07DATA"/>
      <sheetName val="DATA"/>
      <sheetName val="PL"/>
      <sheetName val="nr030112"/>
      <sheetName val="중공업PG계"/>
      <sheetName val="인상효1"/>
      <sheetName val="중연"/>
      <sheetName val="#REF!"/>
    </sheetNames>
    <sheetDataSet>
      <sheetData sheetId="0" refreshError="1">
        <row r="10">
          <cell r="I10">
            <v>156</v>
          </cell>
          <cell r="J10">
            <v>156</v>
          </cell>
          <cell r="K10">
            <v>156</v>
          </cell>
        </row>
        <row r="11">
          <cell r="I11">
            <v>47.282051282051285</v>
          </cell>
          <cell r="J11">
            <v>47.282051282051285</v>
          </cell>
          <cell r="K11">
            <v>47.282051282051285</v>
          </cell>
        </row>
        <row r="12">
          <cell r="I12">
            <v>7376</v>
          </cell>
          <cell r="J12">
            <v>7376</v>
          </cell>
          <cell r="K12">
            <v>7376</v>
          </cell>
        </row>
        <row r="13">
          <cell r="I13">
            <v>372</v>
          </cell>
          <cell r="J13">
            <v>372</v>
          </cell>
          <cell r="K13">
            <v>372</v>
          </cell>
        </row>
        <row r="14">
          <cell r="I14">
            <v>49.623655913978496</v>
          </cell>
          <cell r="J14">
            <v>49.623655913978496</v>
          </cell>
          <cell r="K14">
            <v>49.623655913978496</v>
          </cell>
        </row>
        <row r="15">
          <cell r="I15">
            <v>18460</v>
          </cell>
          <cell r="J15">
            <v>18460</v>
          </cell>
          <cell r="K15">
            <v>18460</v>
          </cell>
        </row>
        <row r="16">
          <cell r="I16">
            <v>528</v>
          </cell>
          <cell r="J16">
            <v>528</v>
          </cell>
          <cell r="K16">
            <v>528</v>
          </cell>
        </row>
        <row r="17">
          <cell r="I17">
            <v>48.93181818181818</v>
          </cell>
          <cell r="J17">
            <v>48.93181818181818</v>
          </cell>
          <cell r="K17">
            <v>48.93181818181818</v>
          </cell>
        </row>
        <row r="18">
          <cell r="I18">
            <v>25836</v>
          </cell>
          <cell r="J18">
            <v>25836</v>
          </cell>
          <cell r="K18">
            <v>25836</v>
          </cell>
        </row>
        <row r="19">
          <cell r="I19">
            <v>34528</v>
          </cell>
          <cell r="J19">
            <v>34528</v>
          </cell>
          <cell r="K19">
            <v>34528</v>
          </cell>
        </row>
        <row r="20">
          <cell r="I20">
            <v>1.3364297878928626</v>
          </cell>
          <cell r="J20">
            <v>1.3364297878928626</v>
          </cell>
          <cell r="K20">
            <v>1.3364297878928626</v>
          </cell>
        </row>
        <row r="21">
          <cell r="I21">
            <v>124</v>
          </cell>
          <cell r="J21">
            <v>124</v>
          </cell>
          <cell r="K21">
            <v>124</v>
          </cell>
        </row>
        <row r="22">
          <cell r="I22">
            <v>46.741935483870968</v>
          </cell>
          <cell r="J22">
            <v>46.741935483870968</v>
          </cell>
          <cell r="K22">
            <v>46.741935483870968</v>
          </cell>
        </row>
        <row r="23">
          <cell r="I23">
            <v>5796</v>
          </cell>
          <cell r="J23">
            <v>5796</v>
          </cell>
          <cell r="K23">
            <v>5796</v>
          </cell>
        </row>
        <row r="24">
          <cell r="I24">
            <v>300</v>
          </cell>
          <cell r="J24">
            <v>300</v>
          </cell>
          <cell r="K24">
            <v>300</v>
          </cell>
        </row>
        <row r="25">
          <cell r="I25">
            <v>53.16</v>
          </cell>
          <cell r="J25">
            <v>53.16</v>
          </cell>
          <cell r="K25">
            <v>53.16</v>
          </cell>
        </row>
        <row r="26">
          <cell r="I26">
            <v>15948</v>
          </cell>
          <cell r="J26">
            <v>15948</v>
          </cell>
          <cell r="K26">
            <v>15948</v>
          </cell>
        </row>
        <row r="27">
          <cell r="I27">
            <v>424</v>
          </cell>
          <cell r="J27">
            <v>424</v>
          </cell>
          <cell r="K27">
            <v>424</v>
          </cell>
        </row>
        <row r="28">
          <cell r="I28">
            <v>51.283018867924525</v>
          </cell>
          <cell r="J28">
            <v>51.283018867924525</v>
          </cell>
          <cell r="K28">
            <v>51.283018867924525</v>
          </cell>
        </row>
        <row r="29">
          <cell r="I29">
            <v>21744</v>
          </cell>
          <cell r="J29">
            <v>21744</v>
          </cell>
          <cell r="K29">
            <v>21744</v>
          </cell>
        </row>
        <row r="30">
          <cell r="I30">
            <v>199300</v>
          </cell>
          <cell r="J30">
            <v>199300</v>
          </cell>
          <cell r="K30">
            <v>199300</v>
          </cell>
        </row>
        <row r="31">
          <cell r="I31">
            <v>9.1657468727005149</v>
          </cell>
          <cell r="J31">
            <v>9.1657468727005149</v>
          </cell>
          <cell r="K31">
            <v>9.1657468727005149</v>
          </cell>
        </row>
        <row r="32">
          <cell r="I32">
            <v>364</v>
          </cell>
          <cell r="J32">
            <v>364</v>
          </cell>
          <cell r="K32">
            <v>364</v>
          </cell>
        </row>
        <row r="33">
          <cell r="I33">
            <v>47.329670329670328</v>
          </cell>
          <cell r="J33">
            <v>47.329670329670328</v>
          </cell>
          <cell r="K33">
            <v>47.329670329670328</v>
          </cell>
        </row>
        <row r="34">
          <cell r="I34">
            <v>17228</v>
          </cell>
          <cell r="J34">
            <v>17228</v>
          </cell>
          <cell r="K34">
            <v>17228</v>
          </cell>
        </row>
        <row r="35">
          <cell r="I35">
            <v>1180</v>
          </cell>
          <cell r="J35">
            <v>1180</v>
          </cell>
          <cell r="K35">
            <v>1180</v>
          </cell>
        </row>
        <row r="36">
          <cell r="I36">
            <v>48.840677966101694</v>
          </cell>
          <cell r="J36">
            <v>48.840677966101694</v>
          </cell>
          <cell r="K36">
            <v>48.840677966101694</v>
          </cell>
        </row>
        <row r="37">
          <cell r="I37">
            <v>57632</v>
          </cell>
          <cell r="J37">
            <v>57632</v>
          </cell>
          <cell r="K37">
            <v>57632</v>
          </cell>
        </row>
        <row r="38">
          <cell r="I38">
            <v>1544</v>
          </cell>
          <cell r="J38">
            <v>1544</v>
          </cell>
          <cell r="K38">
            <v>1544</v>
          </cell>
        </row>
        <row r="39">
          <cell r="I39">
            <v>48.484455958549226</v>
          </cell>
          <cell r="J39">
            <v>48.484455958549226</v>
          </cell>
          <cell r="K39">
            <v>48.484455958549226</v>
          </cell>
        </row>
        <row r="40">
          <cell r="I40">
            <v>74860</v>
          </cell>
          <cell r="J40">
            <v>74860</v>
          </cell>
          <cell r="K40">
            <v>74860</v>
          </cell>
        </row>
        <row r="41">
          <cell r="I41">
            <v>12412</v>
          </cell>
          <cell r="J41">
            <v>12412</v>
          </cell>
          <cell r="K41">
            <v>12412</v>
          </cell>
        </row>
        <row r="42">
          <cell r="I42">
            <v>0.1658028319529789</v>
          </cell>
          <cell r="J42">
            <v>0.1658028319529789</v>
          </cell>
          <cell r="K42">
            <v>0.1658028319529789</v>
          </cell>
        </row>
        <row r="46">
          <cell r="J46" t="str">
            <v xml:space="preserve">    累</v>
          </cell>
        </row>
        <row r="47">
          <cell r="I47" t="str">
            <v xml:space="preserve"> 前年同期</v>
          </cell>
          <cell r="J47" t="str">
            <v xml:space="preserve">   '95. </v>
          </cell>
        </row>
        <row r="48">
          <cell r="J48" t="str">
            <v xml:space="preserve"> 計  劃</v>
          </cell>
          <cell r="K48" t="str">
            <v xml:space="preserve"> 實  績</v>
          </cell>
        </row>
        <row r="49">
          <cell r="I49">
            <v>140</v>
          </cell>
          <cell r="J49">
            <v>140</v>
          </cell>
          <cell r="K49">
            <v>140</v>
          </cell>
        </row>
        <row r="50">
          <cell r="I50">
            <v>47.8</v>
          </cell>
          <cell r="J50">
            <v>47.8</v>
          </cell>
          <cell r="K50">
            <v>47.8</v>
          </cell>
        </row>
        <row r="51">
          <cell r="I51">
            <v>6692</v>
          </cell>
          <cell r="J51">
            <v>6692</v>
          </cell>
          <cell r="K51">
            <v>6692</v>
          </cell>
        </row>
        <row r="52">
          <cell r="I52">
            <v>76</v>
          </cell>
          <cell r="J52">
            <v>76</v>
          </cell>
          <cell r="K52">
            <v>76</v>
          </cell>
        </row>
        <row r="53">
          <cell r="I53">
            <v>52.368421052631582</v>
          </cell>
          <cell r="J53">
            <v>52.368421052631582</v>
          </cell>
          <cell r="K53">
            <v>52.368421052631582</v>
          </cell>
        </row>
        <row r="54">
          <cell r="I54">
            <v>3980</v>
          </cell>
          <cell r="J54">
            <v>3980</v>
          </cell>
          <cell r="K54">
            <v>3980</v>
          </cell>
        </row>
        <row r="55">
          <cell r="I55">
            <v>28</v>
          </cell>
          <cell r="J55">
            <v>28</v>
          </cell>
          <cell r="K55">
            <v>28</v>
          </cell>
        </row>
        <row r="56">
          <cell r="I56">
            <v>44.857142857142854</v>
          </cell>
          <cell r="J56">
            <v>44.857142857142854</v>
          </cell>
          <cell r="K56">
            <v>44.857142857142854</v>
          </cell>
        </row>
        <row r="57">
          <cell r="I57">
            <v>1256</v>
          </cell>
          <cell r="J57">
            <v>1256</v>
          </cell>
          <cell r="K57">
            <v>1256</v>
          </cell>
        </row>
        <row r="58">
          <cell r="I58">
            <v>72</v>
          </cell>
          <cell r="J58">
            <v>72</v>
          </cell>
          <cell r="K58">
            <v>72</v>
          </cell>
        </row>
        <row r="59">
          <cell r="I59">
            <v>44.388888888888886</v>
          </cell>
          <cell r="J59">
            <v>44.388888888888886</v>
          </cell>
          <cell r="K59">
            <v>44.388888888888886</v>
          </cell>
        </row>
        <row r="60">
          <cell r="I60">
            <v>3196</v>
          </cell>
          <cell r="J60">
            <v>3196</v>
          </cell>
          <cell r="K60">
            <v>3196</v>
          </cell>
        </row>
        <row r="61">
          <cell r="I61">
            <v>52</v>
          </cell>
          <cell r="J61">
            <v>52</v>
          </cell>
          <cell r="K61">
            <v>52</v>
          </cell>
        </row>
        <row r="62">
          <cell r="I62">
            <v>49.92307692307692</v>
          </cell>
          <cell r="J62">
            <v>49.92307692307692</v>
          </cell>
          <cell r="K62">
            <v>49.92307692307692</v>
          </cell>
        </row>
        <row r="63">
          <cell r="I63">
            <v>2596</v>
          </cell>
          <cell r="J63">
            <v>2596</v>
          </cell>
          <cell r="K63">
            <v>2596</v>
          </cell>
        </row>
        <row r="64">
          <cell r="I64">
            <v>0</v>
          </cell>
          <cell r="J64">
            <v>0</v>
          </cell>
          <cell r="K64">
            <v>0</v>
          </cell>
        </row>
        <row r="66">
          <cell r="I66">
            <v>0</v>
          </cell>
          <cell r="J66">
            <v>0</v>
          </cell>
          <cell r="K66">
            <v>0</v>
          </cell>
        </row>
        <row r="67">
          <cell r="I67">
            <v>20</v>
          </cell>
          <cell r="J67">
            <v>20</v>
          </cell>
          <cell r="K67">
            <v>20</v>
          </cell>
        </row>
        <row r="68">
          <cell r="J68">
            <v>48</v>
          </cell>
          <cell r="K68">
            <v>48</v>
          </cell>
        </row>
        <row r="69">
          <cell r="I69">
            <v>960</v>
          </cell>
          <cell r="J69">
            <v>960</v>
          </cell>
          <cell r="K69">
            <v>960</v>
          </cell>
        </row>
        <row r="70">
          <cell r="I70">
            <v>388</v>
          </cell>
          <cell r="J70">
            <v>388</v>
          </cell>
          <cell r="K70">
            <v>388</v>
          </cell>
        </row>
        <row r="71">
          <cell r="I71">
            <v>48.144329896907216</v>
          </cell>
          <cell r="J71">
            <v>48.144329896907216</v>
          </cell>
          <cell r="K71">
            <v>48.144329896907216</v>
          </cell>
        </row>
        <row r="72">
          <cell r="I72">
            <v>18680</v>
          </cell>
          <cell r="J72">
            <v>18680</v>
          </cell>
          <cell r="K72">
            <v>18680</v>
          </cell>
        </row>
        <row r="79">
          <cell r="I79">
            <v>2884</v>
          </cell>
          <cell r="J79">
            <v>2884</v>
          </cell>
          <cell r="K79">
            <v>2884</v>
          </cell>
        </row>
        <row r="80">
          <cell r="I80">
            <v>48.932038834951456</v>
          </cell>
          <cell r="J80">
            <v>48.932038834951456</v>
          </cell>
          <cell r="K80">
            <v>48.932038834951456</v>
          </cell>
        </row>
        <row r="81">
          <cell r="I81">
            <v>141120</v>
          </cell>
          <cell r="J81">
            <v>141120</v>
          </cell>
          <cell r="K81">
            <v>141120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구"/>
      <sheetName val="구미"/>
      <sheetName val="대차대조표"/>
      <sheetName val="OPT손익 내수"/>
      <sheetName val="OPT손익 수출"/>
      <sheetName val="Parm"/>
      <sheetName val="대구공수"/>
      <sheetName val="손익계산서"/>
      <sheetName val="COBS"/>
      <sheetName val="손익분석"/>
      <sheetName val="Sheet1"/>
      <sheetName val="울산"/>
      <sheetName val="보고서"/>
      <sheetName val="언양"/>
      <sheetName val="11고객별 담당자"/>
      <sheetName val="1_06수익성"/>
      <sheetName val="구미2월"/>
      <sheetName val="안양2월"/>
      <sheetName val="한빛은행_종합2001"/>
      <sheetName val="FLUC-94"/>
      <sheetName val="산자사 운전용품"/>
      <sheetName val="중연"/>
      <sheetName val="BACK"/>
      <sheetName val="광주"/>
      <sheetName val="연령현황"/>
      <sheetName val="ERP 원가 BACKDATA"/>
      <sheetName val="고합"/>
      <sheetName val="8월판가_2"/>
      <sheetName val="Base"/>
      <sheetName val="Macro"/>
      <sheetName val="#REF"/>
      <sheetName val="용연"/>
      <sheetName val="진천"/>
      <sheetName val="220 (2)"/>
      <sheetName val="손익총괄"/>
      <sheetName val="제조원가"/>
      <sheetName val="key"/>
      <sheetName val="SMT 종합"/>
      <sheetName val="자금입금"/>
      <sheetName val="추정"/>
      <sheetName val="2월피벗"/>
      <sheetName val="BACK (2)"/>
      <sheetName val="#REF!"/>
    </sheetNames>
    <sheetDataSet>
      <sheetData sheetId="0" refreshError="1">
        <row r="10">
          <cell r="I10">
            <v>114</v>
          </cell>
          <cell r="J10">
            <v>110</v>
          </cell>
          <cell r="K10">
            <v>101</v>
          </cell>
        </row>
        <row r="11">
          <cell r="I11">
            <v>46.991228070175438</v>
          </cell>
          <cell r="J11">
            <v>47.009090909090908</v>
          </cell>
          <cell r="K11">
            <v>45.900990099009903</v>
          </cell>
        </row>
        <row r="12">
          <cell r="I12">
            <v>5357</v>
          </cell>
          <cell r="J12">
            <v>5171</v>
          </cell>
          <cell r="K12">
            <v>4636</v>
          </cell>
        </row>
        <row r="13">
          <cell r="I13">
            <v>301</v>
          </cell>
          <cell r="J13">
            <v>323</v>
          </cell>
          <cell r="K13">
            <v>286</v>
          </cell>
        </row>
        <row r="14">
          <cell r="I14">
            <v>5.6188165017733806E-2</v>
          </cell>
          <cell r="J14">
            <v>6.2463740088957651E-2</v>
          </cell>
          <cell r="K14">
            <v>6.169111302847282E-2</v>
          </cell>
        </row>
        <row r="15">
          <cell r="I15">
            <v>22</v>
          </cell>
          <cell r="J15">
            <v>22</v>
          </cell>
          <cell r="K15">
            <v>20</v>
          </cell>
        </row>
        <row r="16">
          <cell r="I16">
            <v>68.181818181818187</v>
          </cell>
          <cell r="J16">
            <v>67.818181818181813</v>
          </cell>
          <cell r="K16">
            <v>65.25</v>
          </cell>
        </row>
        <row r="17">
          <cell r="I17">
            <v>1500</v>
          </cell>
          <cell r="J17">
            <v>1492</v>
          </cell>
          <cell r="K17">
            <v>1305</v>
          </cell>
        </row>
        <row r="40">
          <cell r="I40">
            <v>136</v>
          </cell>
          <cell r="J40">
            <v>132</v>
          </cell>
          <cell r="K40">
            <v>121</v>
          </cell>
        </row>
        <row r="41">
          <cell r="I41">
            <v>50.419117647058826</v>
          </cell>
          <cell r="J41">
            <v>50.477272727272727</v>
          </cell>
          <cell r="K41">
            <v>49.099173553719005</v>
          </cell>
        </row>
        <row r="42">
          <cell r="I42">
            <v>6857</v>
          </cell>
          <cell r="J42">
            <v>6663</v>
          </cell>
          <cell r="K42">
            <v>5941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formation"/>
      <sheetName val="C1a"/>
      <sheetName val="Summary"/>
      <sheetName val="C1b"/>
      <sheetName val="C1c"/>
      <sheetName val="C1d"/>
      <sheetName val="C2a"/>
      <sheetName val="C2b"/>
      <sheetName val="C2c"/>
      <sheetName val="C2d"/>
      <sheetName val="C2e"/>
      <sheetName val="C2f"/>
      <sheetName val="C3a"/>
      <sheetName val="C3b"/>
      <sheetName val="C3c"/>
      <sheetName val="Selection"/>
      <sheetName val="Seclection_EEIO"/>
    </sheetNames>
    <sheetDataSet>
      <sheetData sheetId="0"/>
      <sheetData sheetId="1"/>
      <sheetData sheetId="2"/>
      <sheetData sheetId="3"/>
      <sheetData sheetId="4">
        <row r="7">
          <cell r="C7" t="str">
            <v>Factory of Liquid Phase Mfg</v>
          </cell>
        </row>
        <row r="8">
          <cell r="C8" t="str">
            <v>Factory of Mass Spec Mfg</v>
          </cell>
        </row>
        <row r="9">
          <cell r="C9" t="str">
            <v>Factory of Gas Phase Mfg</v>
          </cell>
        </row>
      </sheetData>
      <sheetData sheetId="5">
        <row r="9">
          <cell r="C9" t="str">
            <v xml:space="preserve">High Performance Liquid Chromatograh </v>
          </cell>
        </row>
        <row r="10">
          <cell r="C10" t="str">
            <v>Gas Chromatograh</v>
          </cell>
        </row>
      </sheetData>
      <sheetData sheetId="6"/>
      <sheetData sheetId="7"/>
      <sheetData sheetId="8"/>
      <sheetData sheetId="9"/>
      <sheetData sheetId="10"/>
      <sheetData sheetId="11"/>
      <sheetData sheetId="12"/>
      <sheetData sheetId="13"/>
      <sheetData sheetId="14"/>
      <sheetData sheetId="15"/>
      <sheetData sheetId="16">
        <row r="569">
          <cell r="B569" t="str">
            <v>Reduce Logistics Emissions: Integrated Logistics</v>
          </cell>
        </row>
        <row r="570">
          <cell r="B570" t="str">
            <v>Reduce logistics emissions: transportation changes</v>
          </cell>
        </row>
        <row r="571">
          <cell r="B571" t="str">
            <v>Reduce logistics emissions: route optimization</v>
          </cell>
        </row>
        <row r="572">
          <cell r="B572" t="str">
            <v>Reduce logistics emissions: process optimization</v>
          </cell>
        </row>
        <row r="573">
          <cell r="B573" t="str">
            <v>Product Change: Packaging Weight Reduction</v>
          </cell>
        </row>
        <row r="574">
          <cell r="B574" t="str">
            <v>Product change: Reduce product production emissions</v>
          </cell>
        </row>
        <row r="575">
          <cell r="B575" t="str">
            <v>Product change: Reduce emissions when used</v>
          </cell>
        </row>
        <row r="576">
          <cell r="B576" t="str">
            <v>Product changes: Reduce product material emissions</v>
          </cell>
        </row>
        <row r="577">
          <cell r="B577" t="str">
            <v>Carbon Strategy: Product Carbon footprint</v>
          </cell>
        </row>
        <row r="578">
          <cell r="B578" t="str">
            <v>Carbon strategy: Participation in climate initiatives (RE100, SBT, etc.)</v>
          </cell>
        </row>
        <row r="579">
          <cell r="B579" t="str">
            <v>Carbon Strategy: Establishing and coordinating climate goals and strategies</v>
          </cell>
        </row>
        <row r="580">
          <cell r="B580" t="str">
            <v>Energy Management: Energy Saving Business</v>
          </cell>
        </row>
        <row r="581">
          <cell r="B581" t="str">
            <v>Energy Management: Renewable Energy Transition</v>
          </cell>
        </row>
        <row r="582">
          <cell r="B582" t="str">
            <v>Others (Describe on the Description section)</v>
          </cell>
        </row>
        <row r="583">
          <cell r="B583" t="str">
            <v>Scope 1</v>
          </cell>
        </row>
        <row r="584">
          <cell r="B584" t="str">
            <v>Scope 2</v>
          </cell>
        </row>
        <row r="585">
          <cell r="B585" t="str">
            <v>Scope 1, 2</v>
          </cell>
        </row>
        <row r="586">
          <cell r="B586" t="str">
            <v>Scope 3</v>
          </cell>
        </row>
        <row r="587">
          <cell r="B587" t="str">
            <v>Scope 1,2,3</v>
          </cell>
        </row>
        <row r="588">
          <cell r="B588" t="str">
            <v>Cradle to grave</v>
          </cell>
        </row>
        <row r="589">
          <cell r="B589" t="str">
            <v>Cradle to gate</v>
          </cell>
        </row>
        <row r="590">
          <cell r="B590" t="str">
            <v>Gate to gate(Describe on the Description section)</v>
          </cell>
        </row>
        <row r="591">
          <cell r="B591" t="str">
            <v>Yes</v>
          </cell>
        </row>
        <row r="592">
          <cell r="B592" t="str">
            <v>No, self-declaration</v>
          </cell>
        </row>
        <row r="593">
          <cell r="B593" t="str">
            <v>No, under planning</v>
          </cell>
        </row>
      </sheetData>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formation"/>
      <sheetName val="Summary"/>
      <sheetName val="C1a"/>
      <sheetName val="C1b"/>
      <sheetName val="C1c"/>
      <sheetName val="C1d"/>
      <sheetName val="C2a"/>
      <sheetName val="C2b"/>
      <sheetName val="C2c"/>
      <sheetName val="C2d"/>
      <sheetName val="C2e"/>
      <sheetName val="C2f"/>
      <sheetName val="C3a"/>
      <sheetName val="C3b"/>
      <sheetName val="C3c"/>
      <sheetName val="Selection"/>
      <sheetName val="Seclection_EEIO"/>
    </sheetNames>
    <sheetDataSet>
      <sheetData sheetId="0"/>
      <sheetData sheetId="1"/>
      <sheetData sheetId="2"/>
      <sheetData sheetId="3"/>
      <sheetData sheetId="4">
        <row r="7">
          <cell r="C7" t="str">
            <v>UPM</v>
          </cell>
        </row>
        <row r="8">
          <cell r="C8" t="str">
            <v>LGM</v>
          </cell>
        </row>
        <row r="9">
          <cell r="C9" t="str">
            <v>SGM</v>
          </cell>
        </row>
        <row r="10">
          <cell r="C10" t="str">
            <v>UME</v>
          </cell>
        </row>
      </sheetData>
      <sheetData sheetId="5">
        <row r="9">
          <cell r="C9" t="str">
            <v>Q SEPHAROSE FAST FLOW</v>
          </cell>
        </row>
        <row r="10">
          <cell r="C10" t="str">
            <v>SP SEPHAROSE FAST FLOW</v>
          </cell>
        </row>
        <row r="11">
          <cell r="C11" t="str">
            <v>PHENYL SEPHAROSE 6 FF (HS)</v>
          </cell>
        </row>
        <row r="12">
          <cell r="C12" t="str">
            <v>BUTYL SEPHAROSE 4 FF</v>
          </cell>
        </row>
        <row r="13">
          <cell r="C13" t="str">
            <v>Capto adhere ImpRes</v>
          </cell>
        </row>
        <row r="14">
          <cell r="C14" t="str">
            <v>Capto MMC ImpRes</v>
          </cell>
        </row>
        <row r="15">
          <cell r="C15" t="str">
            <v>Capto S ImpAct</v>
          </cell>
        </row>
        <row r="16">
          <cell r="C16" t="str">
            <v>MABSELECT</v>
          </cell>
        </row>
        <row r="17">
          <cell r="C17" t="str">
            <v>CAPTO Q</v>
          </cell>
        </row>
        <row r="18">
          <cell r="C18" t="str">
            <v>CAPTO MMC</v>
          </cell>
        </row>
        <row r="19">
          <cell r="C19" t="str">
            <v>MABSELECT SURE</v>
          </cell>
        </row>
        <row r="20">
          <cell r="C20" t="str">
            <v xml:space="preserve">Capto adhere </v>
          </cell>
        </row>
        <row r="21">
          <cell r="C21" t="str">
            <v>Capto Q ImpRes</v>
          </cell>
        </row>
        <row r="22">
          <cell r="C22" t="str">
            <v>MabSelect SuRe LX</v>
          </cell>
        </row>
        <row r="23">
          <cell r="C23" t="str">
            <v>Capto Phenyl ImpRes</v>
          </cell>
        </row>
        <row r="24">
          <cell r="C24" t="str">
            <v>MabSelect PrismA</v>
          </cell>
        </row>
        <row r="25">
          <cell r="C25" t="str">
            <v>CM SEPHAROSE FAST FLOW</v>
          </cell>
        </row>
        <row r="26">
          <cell r="C26" t="str">
            <v>BLUE SEPHAROSE 6 FAST FLOW</v>
          </cell>
        </row>
        <row r="27">
          <cell r="C27" t="str">
            <v>CAPTO S</v>
          </cell>
        </row>
        <row r="28">
          <cell r="C28" t="str">
            <v>Capto Phenyl high sub</v>
          </cell>
        </row>
        <row r="29">
          <cell r="C29" t="str">
            <v>Capto Butyl</v>
          </cell>
        </row>
        <row r="30">
          <cell r="C30" t="str">
            <v>Capto SP ImpRes</v>
          </cell>
        </row>
        <row r="31">
          <cell r="C31" t="str">
            <v>RTP Q Sepharose Fast Flow</v>
          </cell>
        </row>
        <row r="33">
          <cell r="C33" t="str">
            <v>DPM- SFM4CHO W/O L-GLUTAMINE</v>
          </cell>
        </row>
        <row r="34">
          <cell r="C34" t="str">
            <v>DPM HyClone(TM) ActiCHO(TM) P - ADCF</v>
          </cell>
        </row>
        <row r="35">
          <cell r="C35" t="str">
            <v>DPM HyClone(TM) Cell Boost(TM) 7a - ADCF</v>
          </cell>
        </row>
        <row r="36">
          <cell r="C36" t="str">
            <v>DPM HyClone(TM) Cell Boost(TM) 7b - ADCF</v>
          </cell>
        </row>
        <row r="37">
          <cell r="C37" t="str">
            <v>DPM-CM5605-F2, CUSTOM MADE FOR ELEVATION ONCOLOGY</v>
          </cell>
        </row>
        <row r="38">
          <cell r="C38" t="str">
            <v>DPM-PS320-F2 w/ 1g/L Poloxamer 188, CUSTOM MADE FOR ELEVATION ONCOLOGY</v>
          </cell>
        </row>
        <row r="39">
          <cell r="C39" t="str">
            <v>DPM-PS320-F3 Powder 1 w/ 1g/L Poloxamer 188, CUSTOM MADE FOR ELEVATION ONCOLOGY</v>
          </cell>
        </row>
        <row r="40">
          <cell r="C40" t="str">
            <v>DPM-PS320-F3 Powder 2, CUSTOM MADE FOR ELEVATION ONCOLOGY</v>
          </cell>
        </row>
        <row r="41">
          <cell r="C41" t="str">
            <v>DPM- T-104 Medium, CUSTOM MADE FOR GENENTECH</v>
          </cell>
        </row>
        <row r="42">
          <cell r="C42" t="str">
            <v>DPM- T-100 Medium, CUSTOM MADE FOR GENENTECH</v>
          </cell>
        </row>
        <row r="43">
          <cell r="C43" t="str">
            <v>DPM- T-204 Medium, CUSTOM MADE FOR GENENTECH</v>
          </cell>
        </row>
        <row r="44">
          <cell r="C44" t="str">
            <v>DPM-FPCHO-1, CUSTOM MADE FOR MEDIMMUNE</v>
          </cell>
        </row>
        <row r="45">
          <cell r="C45" t="str">
            <v>DPM-DMNSO-7, CUSTOM MADE FOR MEDIMMUNE</v>
          </cell>
        </row>
        <row r="46">
          <cell r="C46" t="str">
            <v>DPM-CCM-B1, CUSTOM MADE FOR MEDIMMUNE</v>
          </cell>
        </row>
        <row r="47">
          <cell r="C47" t="str">
            <v>LM-33.3% ADCF Antifoam Solution, Irradiated, CUSTOM MADE FOR GSK</v>
          </cell>
        </row>
        <row r="48">
          <cell r="C48" t="str">
            <v>DPM-IM-006 Powder, CUSTOM MADE FOR IMMUNOMEDICS</v>
          </cell>
        </row>
        <row r="49">
          <cell r="C49" t="str">
            <v>DPM-IMF-005 Powder, CUSTOM MADE FOR IMMUNOMEDICS</v>
          </cell>
        </row>
        <row r="50">
          <cell r="C50" t="str">
            <v>DPM- HyClone CDM4PERMAb Powder without L-Glutamine</v>
          </cell>
        </row>
        <row r="51">
          <cell r="C51" t="str">
            <v>DPM- CDM4PERMAb Feed Supplement, CUSTOM MADE FOR DSM BIOLOGICS</v>
          </cell>
        </row>
        <row r="52">
          <cell r="C52" t="str">
            <v>DPM- 20x DME/F12 Modified Base Powder, MERCK</v>
          </cell>
        </row>
        <row r="54">
          <cell r="C54" t="str">
            <v>DPM HyClone(TM) Cell Boost(TM) 7a - ADCF</v>
          </cell>
        </row>
        <row r="55">
          <cell r="C55" t="str">
            <v>DPM HyClone(TM) Cell Boost(TM) 7b - ADCF</v>
          </cell>
        </row>
        <row r="56">
          <cell r="C56" t="str">
            <v>DPM HyClone(TM) ActiPro(TM) - ADCF</v>
          </cell>
        </row>
        <row r="57">
          <cell r="C57" t="str">
            <v>DPM CHOKO18 SM Complete Powder, Custom Made for Sartorius - ADCF</v>
          </cell>
        </row>
        <row r="58">
          <cell r="C58" t="str">
            <v>DPM-CDM4MAB W/O GLUT</v>
          </cell>
        </row>
        <row r="59">
          <cell r="C59" t="str">
            <v>DPM-CELL BOOST 5 (CN-F) W/O LGLUTAMINE</v>
          </cell>
        </row>
      </sheetData>
      <sheetData sheetId="6"/>
      <sheetData sheetId="7"/>
      <sheetData sheetId="8"/>
      <sheetData sheetId="9"/>
      <sheetData sheetId="10"/>
      <sheetData sheetId="11"/>
      <sheetData sheetId="12"/>
      <sheetData sheetId="13"/>
      <sheetData sheetId="14"/>
      <sheetData sheetId="15"/>
      <sheetData sheetId="16">
        <row r="569">
          <cell r="B569" t="str">
            <v>Reduce Logistics Emissions: Integrated Logistics</v>
          </cell>
        </row>
        <row r="570">
          <cell r="B570" t="str">
            <v>Reduce logistics emissions: transportation changes</v>
          </cell>
        </row>
        <row r="571">
          <cell r="B571" t="str">
            <v>Reduce logistics emissions: route optimization</v>
          </cell>
        </row>
        <row r="572">
          <cell r="B572" t="str">
            <v>Reduce logistics emissions: process optimization</v>
          </cell>
        </row>
        <row r="573">
          <cell r="B573" t="str">
            <v>Product Change: Packaging Weight Reduction</v>
          </cell>
        </row>
        <row r="574">
          <cell r="B574" t="str">
            <v>Product change: Reduce product production emissions</v>
          </cell>
        </row>
        <row r="575">
          <cell r="B575" t="str">
            <v>Product change: Reduce emissions when used</v>
          </cell>
        </row>
        <row r="576">
          <cell r="B576" t="str">
            <v>Product changes: Reduce product material emissions</v>
          </cell>
        </row>
        <row r="577">
          <cell r="B577" t="str">
            <v>Carbon Strategy: Product Carbon footprint</v>
          </cell>
        </row>
        <row r="578">
          <cell r="B578" t="str">
            <v>Carbon strategy: Participation in climate initiatives (RE100, SBT, etc.)</v>
          </cell>
        </row>
        <row r="579">
          <cell r="B579" t="str">
            <v>Carbon Strategy: Establishing and coordinating climate goals and strategies</v>
          </cell>
        </row>
        <row r="580">
          <cell r="B580" t="str">
            <v>Energy Management: Energy Saving Business</v>
          </cell>
        </row>
        <row r="581">
          <cell r="B581" t="str">
            <v>Energy Management: Renewable Energy Transition</v>
          </cell>
        </row>
        <row r="582">
          <cell r="B582" t="str">
            <v>Others (Describe on the Description section)</v>
          </cell>
        </row>
        <row r="583">
          <cell r="B583" t="str">
            <v>Scope 1</v>
          </cell>
        </row>
        <row r="584">
          <cell r="B584" t="str">
            <v>Scope 2</v>
          </cell>
        </row>
        <row r="585">
          <cell r="B585" t="str">
            <v>Scope 1, 2</v>
          </cell>
        </row>
        <row r="586">
          <cell r="B586" t="str">
            <v>Scope 3</v>
          </cell>
        </row>
        <row r="587">
          <cell r="B587" t="str">
            <v>Scope 1,2,3</v>
          </cell>
        </row>
        <row r="588">
          <cell r="B588" t="str">
            <v>Cradle to grave</v>
          </cell>
        </row>
        <row r="589">
          <cell r="B589" t="str">
            <v>Cradle to gate</v>
          </cell>
        </row>
        <row r="590">
          <cell r="B590" t="str">
            <v>Gate to gate(Describe on the Description section)</v>
          </cell>
        </row>
        <row r="591">
          <cell r="B591" t="str">
            <v>Yes</v>
          </cell>
        </row>
        <row r="592">
          <cell r="B592" t="str">
            <v>No, self-declaration</v>
          </cell>
        </row>
        <row r="593">
          <cell r="B593" t="str">
            <v>No, under planning</v>
          </cell>
        </row>
      </sheetData>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용"/>
      <sheetName val="PNT-QUOT-#3"/>
      <sheetName val="COAT&amp;WRAP-QIOT-#3"/>
      <sheetName val="DATA"/>
      <sheetName val="대구"/>
    </sheetNames>
    <sheetDataSet>
      <sheetData sheetId="0"/>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령현황"/>
      <sheetName val="품의서"/>
      <sheetName val="인원(전사)"/>
      <sheetName val="인원(대구제외)"/>
      <sheetName val="인원(울)"/>
      <sheetName val="인원(안양)"/>
      <sheetName val="인원(언양)"/>
      <sheetName val="비용"/>
      <sheetName val="dongia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 val="연령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미"/>
      <sheetName val="광주"/>
      <sheetName val="세계1(DATA)"/>
      <sheetName val="총괄"/>
      <sheetName val="매출매입"/>
      <sheetName val="언양"/>
      <sheetName val="수불부"/>
      <sheetName val="중연"/>
      <sheetName val="손익총괄"/>
      <sheetName val="직급실적"/>
      <sheetName val="Sheet1"/>
      <sheetName val="적용환율"/>
      <sheetName val="생산량"/>
      <sheetName val="고합"/>
      <sheetName val="표지 (2)"/>
      <sheetName val="용연"/>
      <sheetName val="LS"/>
      <sheetName val="TB"/>
      <sheetName val="Base"/>
      <sheetName val="T&amp;C"/>
      <sheetName val="3_1_1.제조비용년간"/>
      <sheetName val="01_12月_Lot별_판매실적.xls"/>
      <sheetName val="Macro"/>
      <sheetName val="원가내역"/>
      <sheetName val="연령현황"/>
      <sheetName val="대비표_SPX가"/>
      <sheetName val="DJ3.28-222.25NKMSTJ"/>
      <sheetName val="급여"/>
      <sheetName val="대구"/>
      <sheetName val="진천"/>
      <sheetName val="8호기TEST"/>
      <sheetName val="Macro1"/>
      <sheetName val="DSP-30"/>
      <sheetName val="▶판매량Trend(수정안)"/>
      <sheetName val="▶판가Trend(수정안)"/>
      <sheetName val="임가공처"/>
      <sheetName val="DATA"/>
      <sheetName val="지수"/>
      <sheetName val="#REF!"/>
      <sheetName val="#REF"/>
    </sheetNames>
    <sheetDataSet>
      <sheetData sheetId="0" refreshError="1">
        <row r="10">
          <cell r="I10">
            <v>19</v>
          </cell>
          <cell r="J10">
            <v>15</v>
          </cell>
          <cell r="K10">
            <v>17</v>
          </cell>
          <cell r="R10" t="str">
            <v xml:space="preserve">  人  員</v>
          </cell>
          <cell r="S10">
            <v>17</v>
          </cell>
          <cell r="T10">
            <v>17</v>
          </cell>
        </row>
        <row r="11">
          <cell r="I11">
            <v>31.157894736842106</v>
          </cell>
          <cell r="J11" t="e">
            <v>#VALUE!</v>
          </cell>
          <cell r="K11">
            <v>41.941176470588232</v>
          </cell>
          <cell r="R11" t="str">
            <v xml:space="preserve"> 平均工數</v>
          </cell>
          <cell r="S11">
            <v>41.941176470588232</v>
          </cell>
          <cell r="T11">
            <v>41.941176470588232</v>
          </cell>
        </row>
        <row r="12">
          <cell r="I12">
            <v>592</v>
          </cell>
          <cell r="J12" t="e">
            <v>#VALUE!</v>
          </cell>
          <cell r="K12">
            <v>713</v>
          </cell>
          <cell r="R12" t="str">
            <v xml:space="preserve">  總工數</v>
          </cell>
          <cell r="S12">
            <v>713</v>
          </cell>
          <cell r="T12">
            <v>713</v>
          </cell>
        </row>
        <row r="13">
          <cell r="I13">
            <v>25</v>
          </cell>
          <cell r="J13" t="e">
            <v>#VALUE!</v>
          </cell>
          <cell r="K13">
            <v>58</v>
          </cell>
          <cell r="R13" t="str">
            <v xml:space="preserve">  人  員</v>
          </cell>
          <cell r="S13">
            <v>58</v>
          </cell>
          <cell r="T13">
            <v>58</v>
          </cell>
        </row>
        <row r="14">
          <cell r="I14">
            <v>41.72</v>
          </cell>
          <cell r="J14" t="e">
            <v>#VALUE!</v>
          </cell>
          <cell r="K14">
            <v>39.293103448275865</v>
          </cell>
          <cell r="R14" t="str">
            <v xml:space="preserve"> 平均工數</v>
          </cell>
          <cell r="S14">
            <v>39.293103448275865</v>
          </cell>
          <cell r="T14">
            <v>39.293103448275865</v>
          </cell>
        </row>
        <row r="15">
          <cell r="I15">
            <v>1043</v>
          </cell>
          <cell r="J15">
            <v>2715</v>
          </cell>
          <cell r="K15">
            <v>2279</v>
          </cell>
          <cell r="R15" t="str">
            <v xml:space="preserve">  總工數</v>
          </cell>
          <cell r="S15">
            <v>2279</v>
          </cell>
          <cell r="T15">
            <v>2279</v>
          </cell>
        </row>
        <row r="16">
          <cell r="I16">
            <v>44</v>
          </cell>
          <cell r="J16">
            <v>77</v>
          </cell>
          <cell r="K16">
            <v>75</v>
          </cell>
          <cell r="R16" t="str">
            <v xml:space="preserve">  人  員</v>
          </cell>
          <cell r="S16">
            <v>75</v>
          </cell>
          <cell r="T16">
            <v>75</v>
          </cell>
        </row>
        <row r="17">
          <cell r="I17">
            <v>37.159090909090907</v>
          </cell>
          <cell r="J17">
            <v>43.636363636363633</v>
          </cell>
          <cell r="K17" t="e">
            <v>#VALUE!</v>
          </cell>
          <cell r="R17" t="str">
            <v xml:space="preserve"> 平均工數</v>
          </cell>
          <cell r="S17">
            <v>39.893333333333331</v>
          </cell>
          <cell r="T17">
            <v>39.893333333333331</v>
          </cell>
        </row>
        <row r="18">
          <cell r="I18">
            <v>1635</v>
          </cell>
          <cell r="J18">
            <v>3360</v>
          </cell>
          <cell r="K18" t="e">
            <v>#VALUE!</v>
          </cell>
          <cell r="R18" t="str">
            <v xml:space="preserve">  總工數</v>
          </cell>
          <cell r="S18">
            <v>2992</v>
          </cell>
          <cell r="T18">
            <v>2992</v>
          </cell>
        </row>
        <row r="19">
          <cell r="I19">
            <v>3600</v>
          </cell>
          <cell r="J19">
            <v>5880</v>
          </cell>
          <cell r="K19">
            <v>8255</v>
          </cell>
          <cell r="R19" t="str">
            <v xml:space="preserve">  生産量</v>
          </cell>
          <cell r="S19">
            <v>8255</v>
          </cell>
          <cell r="T19">
            <v>8255</v>
          </cell>
        </row>
        <row r="20">
          <cell r="I20">
            <v>2.2018348623853212</v>
          </cell>
          <cell r="J20">
            <v>1.75</v>
          </cell>
          <cell r="K20" t="e">
            <v>#VALUE!</v>
          </cell>
          <cell r="R20" t="str">
            <v>生産量/工數</v>
          </cell>
          <cell r="S20">
            <v>2.7590240641711228</v>
          </cell>
          <cell r="T20">
            <v>2.7590240641711228</v>
          </cell>
        </row>
        <row r="21">
          <cell r="I21">
            <v>4</v>
          </cell>
          <cell r="J21">
            <v>6</v>
          </cell>
          <cell r="K21">
            <v>5</v>
          </cell>
          <cell r="R21" t="str">
            <v xml:space="preserve">  人  員</v>
          </cell>
          <cell r="S21">
            <v>5</v>
          </cell>
          <cell r="T21">
            <v>5</v>
          </cell>
        </row>
        <row r="22">
          <cell r="I22">
            <v>40</v>
          </cell>
          <cell r="J22">
            <v>38</v>
          </cell>
          <cell r="K22">
            <v>39.6</v>
          </cell>
          <cell r="R22" t="str">
            <v xml:space="preserve"> 平均工數</v>
          </cell>
          <cell r="S22">
            <v>39.6</v>
          </cell>
          <cell r="T22">
            <v>39.6</v>
          </cell>
        </row>
        <row r="23">
          <cell r="I23">
            <v>160</v>
          </cell>
          <cell r="J23">
            <v>228</v>
          </cell>
          <cell r="K23">
            <v>198</v>
          </cell>
          <cell r="R23" t="str">
            <v xml:space="preserve">  總工數</v>
          </cell>
          <cell r="S23">
            <v>198</v>
          </cell>
          <cell r="T23">
            <v>198</v>
          </cell>
        </row>
        <row r="24">
          <cell r="I24">
            <v>3</v>
          </cell>
          <cell r="J24">
            <v>6</v>
          </cell>
          <cell r="K24">
            <v>5</v>
          </cell>
          <cell r="R24" t="str">
            <v xml:space="preserve">  人  員</v>
          </cell>
          <cell r="S24">
            <v>5</v>
          </cell>
          <cell r="T24">
            <v>5</v>
          </cell>
        </row>
        <row r="25">
          <cell r="I25">
            <v>37.333333333333336</v>
          </cell>
          <cell r="J25" t="e">
            <v>#VALUE!</v>
          </cell>
          <cell r="K25">
            <v>40.200000000000003</v>
          </cell>
          <cell r="R25" t="str">
            <v xml:space="preserve"> 平均工數</v>
          </cell>
          <cell r="S25">
            <v>40.200000000000003</v>
          </cell>
          <cell r="T25">
            <v>40.200000000000003</v>
          </cell>
        </row>
        <row r="26">
          <cell r="I26">
            <v>112</v>
          </cell>
          <cell r="J26" t="e">
            <v>#VALUE!</v>
          </cell>
          <cell r="K26">
            <v>201</v>
          </cell>
          <cell r="R26" t="str">
            <v xml:space="preserve">  總工數</v>
          </cell>
          <cell r="S26">
            <v>201</v>
          </cell>
          <cell r="T26">
            <v>201</v>
          </cell>
        </row>
        <row r="27">
          <cell r="I27">
            <v>2</v>
          </cell>
          <cell r="J27">
            <v>3</v>
          </cell>
          <cell r="K27">
            <v>3</v>
          </cell>
          <cell r="R27" t="str">
            <v xml:space="preserve">  人  員</v>
          </cell>
          <cell r="S27">
            <v>3</v>
          </cell>
          <cell r="T27">
            <v>3</v>
          </cell>
        </row>
        <row r="28">
          <cell r="I28">
            <v>42</v>
          </cell>
          <cell r="J28">
            <v>38</v>
          </cell>
          <cell r="K28">
            <v>40.666666666666664</v>
          </cell>
          <cell r="R28" t="str">
            <v xml:space="preserve"> 平均工數</v>
          </cell>
          <cell r="S28">
            <v>40.666666666666664</v>
          </cell>
          <cell r="T28">
            <v>40.666666666666664</v>
          </cell>
        </row>
        <row r="29">
          <cell r="I29">
            <v>84</v>
          </cell>
          <cell r="J29">
            <v>114</v>
          </cell>
          <cell r="K29">
            <v>122</v>
          </cell>
          <cell r="R29" t="str">
            <v xml:space="preserve">  總工數</v>
          </cell>
          <cell r="S29">
            <v>122</v>
          </cell>
          <cell r="T29">
            <v>122</v>
          </cell>
        </row>
        <row r="30">
          <cell r="I30">
            <v>9</v>
          </cell>
          <cell r="J30">
            <v>15</v>
          </cell>
          <cell r="K30">
            <v>13</v>
          </cell>
          <cell r="R30" t="str">
            <v xml:space="preserve">  人  員</v>
          </cell>
          <cell r="S30">
            <v>13</v>
          </cell>
          <cell r="T30">
            <v>13</v>
          </cell>
        </row>
        <row r="31">
          <cell r="I31">
            <v>39.555555555555557</v>
          </cell>
          <cell r="J31">
            <v>38</v>
          </cell>
          <cell r="K31">
            <v>40.07692307692308</v>
          </cell>
          <cell r="R31" t="str">
            <v xml:space="preserve"> 平均工數</v>
          </cell>
          <cell r="S31">
            <v>40.07692307692308</v>
          </cell>
          <cell r="T31">
            <v>40.07692307692308</v>
          </cell>
        </row>
        <row r="32">
          <cell r="I32">
            <v>356</v>
          </cell>
          <cell r="J32">
            <v>570</v>
          </cell>
          <cell r="K32">
            <v>521</v>
          </cell>
          <cell r="R32" t="str">
            <v xml:space="preserve">  總工數</v>
          </cell>
          <cell r="S32">
            <v>521</v>
          </cell>
          <cell r="T32">
            <v>521</v>
          </cell>
        </row>
        <row r="39">
          <cell r="I39">
            <v>53</v>
          </cell>
          <cell r="J39">
            <v>92</v>
          </cell>
          <cell r="K39">
            <v>88</v>
          </cell>
          <cell r="R39" t="str">
            <v xml:space="preserve">  人  員</v>
          </cell>
          <cell r="S39">
            <v>88</v>
          </cell>
          <cell r="T39">
            <v>88</v>
          </cell>
        </row>
        <row r="40">
          <cell r="I40">
            <v>37.566037735849058</v>
          </cell>
          <cell r="J40" t="e">
            <v>#VALUE!</v>
          </cell>
          <cell r="K40" t="e">
            <v>#VALUE!</v>
          </cell>
          <cell r="R40" t="str">
            <v xml:space="preserve"> 平均工數</v>
          </cell>
          <cell r="S40">
            <v>39.920454545454547</v>
          </cell>
          <cell r="T40">
            <v>39.920454545454547</v>
          </cell>
        </row>
        <row r="41">
          <cell r="I41">
            <v>1991</v>
          </cell>
          <cell r="J41" t="e">
            <v>#VALUE!</v>
          </cell>
          <cell r="K41" t="e">
            <v>#VALUE!</v>
          </cell>
          <cell r="R41" t="str">
            <v xml:space="preserve">  總工數</v>
          </cell>
          <cell r="S41">
            <v>3513</v>
          </cell>
          <cell r="T41">
            <v>3513</v>
          </cell>
        </row>
        <row r="42">
          <cell r="R42" t="str">
            <v xml:space="preserve">  生産量</v>
          </cell>
        </row>
        <row r="43">
          <cell r="R43" t="str">
            <v>生産量/工數</v>
          </cell>
        </row>
        <row r="48">
          <cell r="S48" t="str">
            <v>1월</v>
          </cell>
          <cell r="T48" t="str">
            <v>2월</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사인상전"/>
      <sheetName val="표지"/>
      <sheetName val="인상효과"/>
      <sheetName val="Ⅱ"/>
      <sheetName val="Ⅲ"/>
      <sheetName val="요약"/>
      <sheetName val="전후대비(본봉)"/>
      <sheetName val="전후대비(월정급) "/>
      <sheetName val="전후대비(연봉)"/>
      <sheetName val="비용"/>
      <sheetName val="PL_1_2"/>
      <sheetName val="유첨 5"/>
      <sheetName val="구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
      <sheetName val="사업부 대비"/>
      <sheetName val="서식-2"/>
      <sheetName val="손익총괄"/>
      <sheetName val="10고객별 담당자"/>
      <sheetName val="Macro1"/>
      <sheetName val="08제품별수익성"/>
      <sheetName val="기준Data"/>
      <sheetName val="원료구매"/>
      <sheetName val="#REF!"/>
      <sheetName val="본사인상전"/>
    </sheetNames>
    <sheetDataSet>
      <sheetData sheetId="0" refreshError="1">
        <row r="1">
          <cell r="A1" t="str">
            <v>PRINTALL</v>
          </cell>
          <cell r="F1" t="str">
            <v>PRINT5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생산성"/>
      <sheetName val="line별생산실적"/>
    </sheetNames>
    <sheetDataSet>
      <sheetData sheetId="0"/>
      <sheetData sheetId="1">
        <row r="24">
          <cell r="C24">
            <v>28222</v>
          </cell>
          <cell r="D24">
            <v>27535</v>
          </cell>
          <cell r="E24">
            <v>31089</v>
          </cell>
          <cell r="F24">
            <v>35367</v>
          </cell>
          <cell r="G24">
            <v>31879</v>
          </cell>
          <cell r="H24">
            <v>33480</v>
          </cell>
          <cell r="I24">
            <v>21069</v>
          </cell>
          <cell r="J24">
            <v>17551</v>
          </cell>
          <cell r="K24">
            <v>26847</v>
          </cell>
          <cell r="L24">
            <v>34136</v>
          </cell>
          <cell r="M24">
            <v>31837</v>
          </cell>
          <cell r="N24">
            <v>36777</v>
          </cell>
        </row>
        <row r="25">
          <cell r="C25">
            <v>26139</v>
          </cell>
          <cell r="D25">
            <v>26166</v>
          </cell>
          <cell r="E25">
            <v>30471</v>
          </cell>
          <cell r="F25">
            <v>34382</v>
          </cell>
          <cell r="G25">
            <v>30884</v>
          </cell>
          <cell r="H25">
            <v>31321</v>
          </cell>
          <cell r="I25">
            <v>20944</v>
          </cell>
          <cell r="J25">
            <v>17828</v>
          </cell>
          <cell r="K25">
            <v>27032</v>
          </cell>
          <cell r="L25">
            <v>34499</v>
          </cell>
          <cell r="M25">
            <v>32268</v>
          </cell>
          <cell r="N25">
            <v>36217</v>
          </cell>
        </row>
        <row r="28">
          <cell r="C28">
            <v>16476</v>
          </cell>
          <cell r="D28">
            <v>13406</v>
          </cell>
          <cell r="E28">
            <v>16815</v>
          </cell>
          <cell r="F28">
            <v>14328</v>
          </cell>
          <cell r="G28">
            <v>10010</v>
          </cell>
          <cell r="H28">
            <v>15512</v>
          </cell>
          <cell r="I28">
            <v>14554</v>
          </cell>
          <cell r="J28">
            <v>11615</v>
          </cell>
          <cell r="K28">
            <v>11999</v>
          </cell>
          <cell r="L28">
            <v>17564</v>
          </cell>
          <cell r="M28">
            <v>15077</v>
          </cell>
          <cell r="N28">
            <v>21233</v>
          </cell>
        </row>
        <row r="29">
          <cell r="C29">
            <v>16258</v>
          </cell>
          <cell r="D29">
            <v>13337</v>
          </cell>
          <cell r="E29">
            <v>16654</v>
          </cell>
          <cell r="F29">
            <v>13416</v>
          </cell>
          <cell r="G29">
            <v>9607</v>
          </cell>
          <cell r="H29">
            <v>13691</v>
          </cell>
          <cell r="I29">
            <v>15159</v>
          </cell>
          <cell r="J29">
            <v>12272</v>
          </cell>
          <cell r="K29">
            <v>11642</v>
          </cell>
          <cell r="L29">
            <v>17797</v>
          </cell>
          <cell r="M29">
            <v>14793</v>
          </cell>
          <cell r="N29">
            <v>16930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총괄"/>
      <sheetName val="서식-1"/>
      <sheetName val="Base"/>
      <sheetName val="Macro"/>
    </sheetNames>
    <sheetDataSet>
      <sheetData sheetId="0" refreshError="1">
        <row r="99">
          <cell r="A99">
            <v>3</v>
          </cell>
        </row>
      </sheetData>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요약사항"/>
      <sheetName val="line별매출"/>
      <sheetName val="line별생산실적"/>
      <sheetName val="ITEM별생산실적"/>
      <sheetName val="생산성실적"/>
      <sheetName val="생산성상세"/>
      <sheetName val="불량율현황"/>
      <sheetName val="월별인원현황"/>
      <sheetName val="생산현황"/>
      <sheetName val="손실금액"/>
      <sheetName val="손실금액상세"/>
      <sheetName val="손실공수"/>
      <sheetName val="LINE평가"/>
      <sheetName val="LINE STOP"/>
      <sheetName val="장비고장누계"/>
      <sheetName val="이직.결근"/>
      <sheetName val="자재결품누계"/>
      <sheetName val="Sheet1"/>
    </sheetNames>
    <sheetDataSet>
      <sheetData sheetId="0"/>
      <sheetData sheetId="1"/>
      <sheetData sheetId="2">
        <row r="22">
          <cell r="B22">
            <v>875570</v>
          </cell>
          <cell r="C22">
            <v>1218770</v>
          </cell>
          <cell r="D22">
            <v>1300350</v>
          </cell>
          <cell r="E22">
            <v>1380730</v>
          </cell>
          <cell r="F22">
            <v>1423510</v>
          </cell>
          <cell r="G22">
            <v>1708980</v>
          </cell>
          <cell r="H22">
            <v>1775220</v>
          </cell>
          <cell r="I22">
            <v>1537040</v>
          </cell>
          <cell r="J22">
            <v>1688640</v>
          </cell>
          <cell r="K22">
            <v>1857920</v>
          </cell>
          <cell r="L22">
            <v>2118130</v>
          </cell>
          <cell r="M22">
            <v>2087440</v>
          </cell>
        </row>
        <row r="23">
          <cell r="B23">
            <v>875570</v>
          </cell>
          <cell r="C23">
            <v>2094340</v>
          </cell>
          <cell r="D23">
            <v>3394690</v>
          </cell>
          <cell r="E23">
            <v>4775420</v>
          </cell>
          <cell r="F23">
            <v>6198930</v>
          </cell>
          <cell r="G23">
            <v>7907910</v>
          </cell>
          <cell r="H23">
            <v>9683130</v>
          </cell>
          <cell r="I23">
            <v>11220170</v>
          </cell>
          <cell r="J23">
            <v>12908810</v>
          </cell>
          <cell r="K23">
            <v>14766730</v>
          </cell>
          <cell r="L23">
            <v>16884860</v>
          </cell>
          <cell r="M23">
            <v>18972300</v>
          </cell>
        </row>
        <row r="24">
          <cell r="B24">
            <v>942489.45200000005</v>
          </cell>
          <cell r="C24">
            <v>1070844.7830000001</v>
          </cell>
          <cell r="D24">
            <v>1131246.54</v>
          </cell>
          <cell r="E24">
            <v>1181384.7879999999</v>
          </cell>
        </row>
        <row r="25">
          <cell r="B25">
            <v>942489.45200000005</v>
          </cell>
          <cell r="C25">
            <v>2013334.2350000001</v>
          </cell>
          <cell r="D25">
            <v>3144580.7750000004</v>
          </cell>
          <cell r="E25">
            <v>4325965.5630000001</v>
          </cell>
          <cell r="F25">
            <v>4325965.5630000001</v>
          </cell>
          <cell r="G25">
            <v>4325965.5630000001</v>
          </cell>
          <cell r="H25">
            <v>4325965.5630000001</v>
          </cell>
          <cell r="I25">
            <v>4325965.5630000001</v>
          </cell>
          <cell r="J25">
            <v>4325965.5630000001</v>
          </cell>
          <cell r="K25">
            <v>4325965.5630000001</v>
          </cell>
          <cell r="L25">
            <v>4325965.5630000001</v>
          </cell>
          <cell r="M25">
            <v>4325965.5630000001</v>
          </cell>
        </row>
        <row r="48">
          <cell r="B48">
            <v>27573.907900000002</v>
          </cell>
          <cell r="C48">
            <v>32977.683399999994</v>
          </cell>
          <cell r="D48">
            <v>34952.810400000002</v>
          </cell>
          <cell r="E48">
            <v>33164.025500000003</v>
          </cell>
          <cell r="F48">
            <v>30883.808900000004</v>
          </cell>
          <cell r="G48">
            <v>33774.694599999995</v>
          </cell>
          <cell r="H48">
            <v>32492.113499999996</v>
          </cell>
          <cell r="I48">
            <v>28299.1466</v>
          </cell>
          <cell r="J48">
            <v>30540.189399999999</v>
          </cell>
          <cell r="K48">
            <v>33050.265800000008</v>
          </cell>
          <cell r="L48">
            <v>35039.642399999997</v>
          </cell>
          <cell r="M48">
            <v>32876.083999999995</v>
          </cell>
        </row>
        <row r="49">
          <cell r="B49">
            <v>27573.907900000002</v>
          </cell>
          <cell r="C49">
            <v>60551.5913</v>
          </cell>
          <cell r="D49">
            <v>95504.401700000002</v>
          </cell>
          <cell r="E49">
            <v>128668.42720000001</v>
          </cell>
          <cell r="F49">
            <v>159552.23610000001</v>
          </cell>
          <cell r="G49">
            <v>193326.9307</v>
          </cell>
          <cell r="H49">
            <v>225819.0442</v>
          </cell>
          <cell r="I49">
            <v>254118.19080000001</v>
          </cell>
          <cell r="J49">
            <v>284658.38020000001</v>
          </cell>
          <cell r="K49">
            <v>317708.64600000001</v>
          </cell>
          <cell r="L49">
            <v>352748.28840000002</v>
          </cell>
          <cell r="M49">
            <v>385624.37239999999</v>
          </cell>
        </row>
        <row r="50">
          <cell r="B50">
            <v>35808.379999999997</v>
          </cell>
          <cell r="C50">
            <v>43693.97</v>
          </cell>
          <cell r="D50">
            <v>40262.9</v>
          </cell>
          <cell r="E50">
            <v>34580.212</v>
          </cell>
        </row>
        <row r="51">
          <cell r="B51">
            <v>35808.379999999997</v>
          </cell>
          <cell r="C51">
            <v>79502.350000000006</v>
          </cell>
          <cell r="D51">
            <v>119765.25</v>
          </cell>
          <cell r="E51">
            <v>154345.462</v>
          </cell>
          <cell r="F51">
            <v>154345.462</v>
          </cell>
          <cell r="G51">
            <v>154345.462</v>
          </cell>
          <cell r="H51">
            <v>154345.462</v>
          </cell>
          <cell r="I51">
            <v>154345.462</v>
          </cell>
          <cell r="J51">
            <v>154345.462</v>
          </cell>
          <cell r="K51">
            <v>154345.462</v>
          </cell>
          <cell r="L51">
            <v>154345.462</v>
          </cell>
          <cell r="M51">
            <v>154345.462</v>
          </cell>
        </row>
        <row r="75">
          <cell r="B75">
            <v>10000</v>
          </cell>
          <cell r="C75">
            <v>10000</v>
          </cell>
          <cell r="D75">
            <v>10000</v>
          </cell>
          <cell r="E75">
            <v>10000</v>
          </cell>
          <cell r="F75">
            <v>10000</v>
          </cell>
          <cell r="G75">
            <v>10000</v>
          </cell>
          <cell r="H75">
            <v>10000</v>
          </cell>
          <cell r="I75">
            <v>10000</v>
          </cell>
          <cell r="J75">
            <v>10000</v>
          </cell>
          <cell r="K75">
            <v>10000</v>
          </cell>
          <cell r="L75">
            <v>10000</v>
          </cell>
          <cell r="M75">
            <v>10000</v>
          </cell>
        </row>
        <row r="76">
          <cell r="B76">
            <v>10000</v>
          </cell>
          <cell r="C76">
            <v>20000</v>
          </cell>
          <cell r="D76">
            <v>30000</v>
          </cell>
          <cell r="E76">
            <v>40000</v>
          </cell>
          <cell r="F76">
            <v>50000</v>
          </cell>
          <cell r="G76">
            <v>60000</v>
          </cell>
          <cell r="H76">
            <v>70000</v>
          </cell>
          <cell r="I76">
            <v>80000</v>
          </cell>
          <cell r="J76">
            <v>90000</v>
          </cell>
          <cell r="K76">
            <v>100000</v>
          </cell>
          <cell r="L76">
            <v>110000</v>
          </cell>
          <cell r="M76">
            <v>120000</v>
          </cell>
        </row>
        <row r="77">
          <cell r="B77">
            <v>11632.62</v>
          </cell>
          <cell r="C77">
            <v>77546.218999999997</v>
          </cell>
          <cell r="D77">
            <v>125460.802</v>
          </cell>
          <cell r="E77">
            <v>46935.788</v>
          </cell>
        </row>
        <row r="78">
          <cell r="B78">
            <v>11632.62</v>
          </cell>
          <cell r="C78">
            <v>89178.838999999993</v>
          </cell>
          <cell r="D78">
            <v>214639.641</v>
          </cell>
          <cell r="E78">
            <v>261575.429</v>
          </cell>
          <cell r="F78">
            <v>261575.429</v>
          </cell>
          <cell r="G78">
            <v>261575.429</v>
          </cell>
          <cell r="H78">
            <v>261575.429</v>
          </cell>
          <cell r="I78">
            <v>261575.429</v>
          </cell>
          <cell r="J78">
            <v>261575.429</v>
          </cell>
          <cell r="K78">
            <v>261575.429</v>
          </cell>
          <cell r="L78">
            <v>261575.429</v>
          </cell>
          <cell r="M78">
            <v>261575.429</v>
          </cell>
        </row>
      </sheetData>
      <sheetData sheetId="3"/>
      <sheetData sheetId="4">
        <row r="7">
          <cell r="C7" t="str">
            <v>2000-230890</v>
          </cell>
          <cell r="D7" t="str">
            <v>F/L</v>
          </cell>
          <cell r="E7">
            <v>250</v>
          </cell>
          <cell r="F7">
            <v>230</v>
          </cell>
          <cell r="G7">
            <v>11</v>
          </cell>
          <cell r="H7">
            <v>598</v>
          </cell>
          <cell r="I7">
            <v>2.6</v>
          </cell>
        </row>
        <row r="8">
          <cell r="C8" t="str">
            <v>2000-230310</v>
          </cell>
          <cell r="D8" t="str">
            <v>A-1</v>
          </cell>
          <cell r="E8">
            <v>200</v>
          </cell>
          <cell r="F8">
            <v>200</v>
          </cell>
          <cell r="G8">
            <v>9</v>
          </cell>
          <cell r="H8">
            <v>0</v>
          </cell>
          <cell r="I8">
            <v>0</v>
          </cell>
        </row>
        <row r="9">
          <cell r="C9" t="str">
            <v>2000-430810</v>
          </cell>
          <cell r="D9" t="str">
            <v>ALL</v>
          </cell>
          <cell r="E9">
            <v>6600</v>
          </cell>
          <cell r="F9">
            <v>6000</v>
          </cell>
          <cell r="G9">
            <v>314</v>
          </cell>
          <cell r="H9">
            <v>6282</v>
          </cell>
          <cell r="I9">
            <v>1.0469999999999999</v>
          </cell>
        </row>
        <row r="10">
          <cell r="C10" t="str">
            <v>2000-340640</v>
          </cell>
          <cell r="D10" t="str">
            <v>DSL FFH</v>
          </cell>
          <cell r="E10">
            <v>500</v>
          </cell>
          <cell r="F10">
            <v>500</v>
          </cell>
          <cell r="G10">
            <v>23</v>
          </cell>
          <cell r="I10">
            <v>0</v>
          </cell>
        </row>
        <row r="11">
          <cell r="C11" t="str">
            <v>2000-340620</v>
          </cell>
          <cell r="D11" t="str">
            <v>DSL</v>
          </cell>
          <cell r="E11">
            <v>3500</v>
          </cell>
          <cell r="F11">
            <v>3200</v>
          </cell>
          <cell r="H11">
            <v>1005</v>
          </cell>
          <cell r="I11">
            <v>0.31406250000000002</v>
          </cell>
        </row>
        <row r="12">
          <cell r="C12" t="str">
            <v>2000-340630</v>
          </cell>
          <cell r="D12" t="str">
            <v>GSL</v>
          </cell>
          <cell r="E12">
            <v>500</v>
          </cell>
          <cell r="F12">
            <v>500</v>
          </cell>
          <cell r="G12">
            <v>23</v>
          </cell>
          <cell r="H12">
            <v>29</v>
          </cell>
          <cell r="I12">
            <v>5.8000000000000003E-2</v>
          </cell>
        </row>
        <row r="13">
          <cell r="C13" t="str">
            <v>2000-370740</v>
          </cell>
          <cell r="D13" t="str">
            <v>JM DSL</v>
          </cell>
          <cell r="E13">
            <v>7400</v>
          </cell>
          <cell r="F13">
            <v>6700</v>
          </cell>
          <cell r="G13">
            <v>352</v>
          </cell>
          <cell r="H13">
            <v>8821</v>
          </cell>
          <cell r="I13">
            <v>1.3165671641791046</v>
          </cell>
        </row>
        <row r="14">
          <cell r="C14" t="str">
            <v>2000-370700</v>
          </cell>
          <cell r="D14" t="str">
            <v>GSL 2.0 일반</v>
          </cell>
          <cell r="E14">
            <v>1248</v>
          </cell>
          <cell r="F14">
            <v>1200</v>
          </cell>
          <cell r="G14">
            <v>59</v>
          </cell>
          <cell r="H14">
            <v>221</v>
          </cell>
          <cell r="I14">
            <v>0.18416666666666667</v>
          </cell>
        </row>
        <row r="15">
          <cell r="C15" t="str">
            <v>2000-370720</v>
          </cell>
          <cell r="D15" t="str">
            <v>GSL 2.7 일반</v>
          </cell>
          <cell r="E15">
            <v>1285</v>
          </cell>
          <cell r="F15">
            <v>1200</v>
          </cell>
          <cell r="G15">
            <v>61</v>
          </cell>
          <cell r="H15">
            <v>244</v>
          </cell>
          <cell r="I15">
            <v>0.20333333333333334</v>
          </cell>
        </row>
        <row r="16">
          <cell r="C16" t="str">
            <v>2000-370710</v>
          </cell>
          <cell r="D16" t="str">
            <v>GSL 2.0 북미</v>
          </cell>
          <cell r="E16">
            <v>67</v>
          </cell>
          <cell r="F16">
            <v>100</v>
          </cell>
          <cell r="G16">
            <v>3</v>
          </cell>
          <cell r="H16">
            <v>161</v>
          </cell>
          <cell r="I16">
            <v>1.61</v>
          </cell>
        </row>
        <row r="17">
          <cell r="C17" t="str">
            <v>2000-370730</v>
          </cell>
          <cell r="D17" t="str">
            <v>GSL 2.7 북미</v>
          </cell>
          <cell r="G17">
            <v>0</v>
          </cell>
          <cell r="H17">
            <v>201</v>
          </cell>
          <cell r="I17" t="str">
            <v>-</v>
          </cell>
        </row>
        <row r="18">
          <cell r="C18" t="str">
            <v>2000-160350</v>
          </cell>
          <cell r="D18" t="str">
            <v>일반,CKD(PL)</v>
          </cell>
          <cell r="E18">
            <v>1260</v>
          </cell>
          <cell r="F18">
            <v>1200</v>
          </cell>
          <cell r="G18">
            <v>60</v>
          </cell>
          <cell r="H18">
            <v>1175</v>
          </cell>
          <cell r="I18">
            <v>0.97916666666666663</v>
          </cell>
        </row>
        <row r="19">
          <cell r="C19" t="str">
            <v>2000-160300</v>
          </cell>
          <cell r="D19" t="str">
            <v>멕시코(PL)</v>
          </cell>
          <cell r="G19">
            <v>0</v>
          </cell>
          <cell r="H19">
            <v>0</v>
          </cell>
          <cell r="I19" t="str">
            <v>-</v>
          </cell>
        </row>
        <row r="20">
          <cell r="C20" t="str">
            <v>2000-170380</v>
          </cell>
          <cell r="D20" t="str">
            <v>내수2.0↓</v>
          </cell>
          <cell r="E20">
            <v>1515</v>
          </cell>
          <cell r="F20">
            <v>1400</v>
          </cell>
          <cell r="G20">
            <v>72</v>
          </cell>
          <cell r="H20">
            <v>1413</v>
          </cell>
          <cell r="I20">
            <v>1.0092857142857143</v>
          </cell>
        </row>
        <row r="21">
          <cell r="C21" t="str">
            <v>2000-171190</v>
          </cell>
          <cell r="D21" t="str">
            <v>중동2.0↓</v>
          </cell>
          <cell r="E21">
            <v>24</v>
          </cell>
          <cell r="G21">
            <v>1</v>
          </cell>
          <cell r="H21">
            <v>0</v>
          </cell>
          <cell r="I21" t="str">
            <v>-</v>
          </cell>
        </row>
        <row r="22">
          <cell r="C22" t="str">
            <v>2000-170180</v>
          </cell>
          <cell r="D22" t="str">
            <v>내수2.7</v>
          </cell>
          <cell r="E22">
            <v>381</v>
          </cell>
          <cell r="F22">
            <v>400</v>
          </cell>
          <cell r="G22">
            <v>18</v>
          </cell>
          <cell r="H22">
            <v>750</v>
          </cell>
          <cell r="I22">
            <v>1.875</v>
          </cell>
        </row>
        <row r="23">
          <cell r="C23" t="str">
            <v>2000-171180</v>
          </cell>
          <cell r="D23" t="str">
            <v>중동2.7</v>
          </cell>
          <cell r="E23">
            <v>26</v>
          </cell>
          <cell r="G23">
            <v>1</v>
          </cell>
          <cell r="H23">
            <v>0</v>
          </cell>
          <cell r="I23" t="str">
            <v>-</v>
          </cell>
        </row>
        <row r="24">
          <cell r="C24" t="str">
            <v>2000-171100</v>
          </cell>
          <cell r="D24" t="str">
            <v>북미2.0↓(LC)</v>
          </cell>
          <cell r="E24">
            <v>841</v>
          </cell>
          <cell r="F24">
            <v>800</v>
          </cell>
          <cell r="G24">
            <v>40</v>
          </cell>
          <cell r="H24">
            <v>1820</v>
          </cell>
          <cell r="I24">
            <v>2.2749999999999999</v>
          </cell>
        </row>
        <row r="25">
          <cell r="C25" t="str">
            <v>2000-171110</v>
          </cell>
          <cell r="D25" t="str">
            <v>북미2.7(LC)</v>
          </cell>
          <cell r="E25">
            <v>1613</v>
          </cell>
          <cell r="F25">
            <v>1500</v>
          </cell>
          <cell r="G25">
            <v>76</v>
          </cell>
          <cell r="H25">
            <v>1130</v>
          </cell>
          <cell r="I25">
            <v>0.7533333333333333</v>
          </cell>
        </row>
        <row r="26">
          <cell r="C26" t="str">
            <v>2000-010010</v>
          </cell>
          <cell r="D26" t="str">
            <v>내수 구형</v>
          </cell>
          <cell r="E26">
            <v>300</v>
          </cell>
          <cell r="F26">
            <v>300</v>
          </cell>
          <cell r="G26">
            <v>14</v>
          </cell>
          <cell r="H26">
            <v>366</v>
          </cell>
          <cell r="I26">
            <v>1.22</v>
          </cell>
        </row>
        <row r="27">
          <cell r="C27" t="str">
            <v>2000-350640</v>
          </cell>
          <cell r="D27" t="str">
            <v>F/L 내수GSL</v>
          </cell>
          <cell r="E27">
            <v>10540</v>
          </cell>
          <cell r="F27">
            <v>9500</v>
          </cell>
          <cell r="G27">
            <v>501</v>
          </cell>
          <cell r="H27">
            <v>10016</v>
          </cell>
          <cell r="I27">
            <v>1.0543157894736843</v>
          </cell>
        </row>
        <row r="28">
          <cell r="C28" t="str">
            <v>2000-011170</v>
          </cell>
          <cell r="D28" t="str">
            <v>F/L 중동GSL</v>
          </cell>
          <cell r="E28">
            <v>360</v>
          </cell>
          <cell r="F28">
            <v>400</v>
          </cell>
          <cell r="G28">
            <v>17</v>
          </cell>
          <cell r="H28">
            <v>201</v>
          </cell>
          <cell r="I28">
            <v>0.50249999999999995</v>
          </cell>
        </row>
        <row r="29">
          <cell r="C29" t="str">
            <v>2000-350660</v>
          </cell>
          <cell r="D29" t="str">
            <v>F/L DSL</v>
          </cell>
          <cell r="E29">
            <v>660</v>
          </cell>
          <cell r="F29">
            <v>600</v>
          </cell>
          <cell r="G29">
            <v>31</v>
          </cell>
          <cell r="H29">
            <v>525</v>
          </cell>
          <cell r="I29">
            <v>0.875</v>
          </cell>
        </row>
        <row r="30">
          <cell r="C30" t="str">
            <v>2000-351080</v>
          </cell>
          <cell r="D30" t="str">
            <v>F/L 북미GSL(LC)</v>
          </cell>
          <cell r="E30">
            <v>9000</v>
          </cell>
          <cell r="F30">
            <v>8100</v>
          </cell>
          <cell r="G30">
            <v>428</v>
          </cell>
          <cell r="H30">
            <v>9412</v>
          </cell>
          <cell r="I30">
            <v>1.1619753086419753</v>
          </cell>
        </row>
        <row r="31">
          <cell r="C31" t="str">
            <v>2000-220270</v>
          </cell>
          <cell r="D31" t="str">
            <v>ALL</v>
          </cell>
          <cell r="E31">
            <v>300</v>
          </cell>
          <cell r="F31">
            <v>300</v>
          </cell>
          <cell r="G31">
            <v>14</v>
          </cell>
          <cell r="H31">
            <v>204</v>
          </cell>
          <cell r="I31">
            <v>0.68</v>
          </cell>
        </row>
        <row r="32">
          <cell r="C32" t="str">
            <v>2000-080101</v>
          </cell>
          <cell r="D32" t="str">
            <v>LZ(M 신형)</v>
          </cell>
          <cell r="E32">
            <v>1400</v>
          </cell>
          <cell r="F32">
            <v>1300</v>
          </cell>
          <cell r="G32">
            <v>66</v>
          </cell>
          <cell r="H32">
            <v>1326</v>
          </cell>
          <cell r="I32">
            <v>1.02</v>
          </cell>
        </row>
        <row r="33">
          <cell r="C33" t="str">
            <v>2000-050030</v>
          </cell>
          <cell r="D33" t="str">
            <v>GSL</v>
          </cell>
          <cell r="E33">
            <v>2000</v>
          </cell>
          <cell r="F33">
            <v>1800</v>
          </cell>
          <cell r="G33">
            <v>95</v>
          </cell>
          <cell r="H33">
            <v>1329</v>
          </cell>
          <cell r="I33">
            <v>0.73833333333333329</v>
          </cell>
        </row>
        <row r="34">
          <cell r="E34">
            <v>51770</v>
          </cell>
          <cell r="F34">
            <v>47430</v>
          </cell>
          <cell r="G34">
            <v>2289</v>
          </cell>
          <cell r="H34">
            <v>47229</v>
          </cell>
          <cell r="I34">
            <v>0.99576217583807713</v>
          </cell>
        </row>
        <row r="35">
          <cell r="C35" t="str">
            <v>6975-360170</v>
          </cell>
          <cell r="D35" t="str">
            <v>중국 CKD</v>
          </cell>
          <cell r="E35">
            <v>6500</v>
          </cell>
          <cell r="F35">
            <v>6500</v>
          </cell>
          <cell r="G35">
            <v>309</v>
          </cell>
          <cell r="H35">
            <v>10001</v>
          </cell>
          <cell r="I35">
            <v>1.5386153846153847</v>
          </cell>
        </row>
        <row r="36">
          <cell r="C36" t="str">
            <v>6975-350080</v>
          </cell>
          <cell r="D36" t="str">
            <v>내수GSL</v>
          </cell>
          <cell r="E36">
            <v>10900</v>
          </cell>
          <cell r="F36">
            <v>9900</v>
          </cell>
          <cell r="G36">
            <v>519</v>
          </cell>
          <cell r="H36">
            <v>7760</v>
          </cell>
          <cell r="I36">
            <v>0.78383838383838389</v>
          </cell>
        </row>
        <row r="37">
          <cell r="C37" t="str">
            <v>6975-350090</v>
          </cell>
          <cell r="D37" t="str">
            <v>DSL</v>
          </cell>
          <cell r="E37">
            <v>660</v>
          </cell>
          <cell r="F37">
            <v>600</v>
          </cell>
          <cell r="G37">
            <v>31</v>
          </cell>
          <cell r="H37">
            <v>400</v>
          </cell>
          <cell r="I37">
            <v>0.66666666666666663</v>
          </cell>
        </row>
        <row r="38">
          <cell r="C38" t="str">
            <v>6975-350070</v>
          </cell>
          <cell r="D38" t="str">
            <v>북미GSL</v>
          </cell>
          <cell r="E38">
            <v>9000</v>
          </cell>
          <cell r="F38">
            <v>8200</v>
          </cell>
          <cell r="G38">
            <v>428</v>
          </cell>
          <cell r="H38">
            <v>10080</v>
          </cell>
          <cell r="I38">
            <v>1.2292682926829268</v>
          </cell>
        </row>
        <row r="39">
          <cell r="C39" t="str">
            <v>6975-270101</v>
          </cell>
          <cell r="D39" t="str">
            <v>GSL, 중국 CKD</v>
          </cell>
          <cell r="E39">
            <v>32143</v>
          </cell>
          <cell r="F39">
            <v>24000</v>
          </cell>
          <cell r="G39">
            <v>1530</v>
          </cell>
          <cell r="H39">
            <v>24550</v>
          </cell>
          <cell r="I39">
            <v>1.0229166666666667</v>
          </cell>
        </row>
        <row r="40">
          <cell r="C40" t="str">
            <v>6975-430150</v>
          </cell>
          <cell r="D40" t="str">
            <v>ALL</v>
          </cell>
          <cell r="E40">
            <v>6600</v>
          </cell>
          <cell r="F40">
            <v>6000</v>
          </cell>
          <cell r="G40">
            <v>314</v>
          </cell>
          <cell r="H40">
            <v>6076</v>
          </cell>
          <cell r="I40">
            <v>1.0126666666666666</v>
          </cell>
        </row>
        <row r="41">
          <cell r="C41" t="str">
            <v>6975-330050</v>
          </cell>
          <cell r="D41" t="str">
            <v>LD 북미</v>
          </cell>
          <cell r="E41">
            <v>4600</v>
          </cell>
          <cell r="F41">
            <v>7000</v>
          </cell>
          <cell r="G41">
            <v>219</v>
          </cell>
          <cell r="H41">
            <v>1344</v>
          </cell>
          <cell r="I41">
            <v>0.192</v>
          </cell>
        </row>
        <row r="42">
          <cell r="C42" t="str">
            <v>6975-470360</v>
          </cell>
          <cell r="D42" t="str">
            <v>SA ALL</v>
          </cell>
          <cell r="E42">
            <v>10600</v>
          </cell>
          <cell r="F42">
            <v>11600</v>
          </cell>
          <cell r="G42">
            <v>504</v>
          </cell>
          <cell r="H42">
            <v>7790</v>
          </cell>
          <cell r="I42">
            <v>0.67155172413793107</v>
          </cell>
        </row>
        <row r="43">
          <cell r="C43" t="str">
            <v>6975-370130</v>
          </cell>
          <cell r="D43" t="str">
            <v>2.0 MODULE</v>
          </cell>
          <cell r="E43">
            <v>8715</v>
          </cell>
          <cell r="F43">
            <v>8000</v>
          </cell>
          <cell r="G43">
            <v>415</v>
          </cell>
          <cell r="H43">
            <v>9511</v>
          </cell>
          <cell r="I43">
            <v>1.1888749999999999</v>
          </cell>
        </row>
        <row r="44">
          <cell r="C44" t="str">
            <v>6975-370110</v>
          </cell>
          <cell r="D44" t="str">
            <v>2.7 MODULE</v>
          </cell>
          <cell r="E44">
            <v>1285</v>
          </cell>
          <cell r="F44">
            <v>1200</v>
          </cell>
          <cell r="G44">
            <v>61</v>
          </cell>
          <cell r="H44">
            <v>810</v>
          </cell>
          <cell r="I44">
            <v>0.67500000000000004</v>
          </cell>
        </row>
        <row r="45">
          <cell r="C45" t="str">
            <v>6975-370140</v>
          </cell>
          <cell r="D45" t="str">
            <v>2.0 SUCTION</v>
          </cell>
          <cell r="E45">
            <v>8715</v>
          </cell>
          <cell r="F45">
            <v>8000</v>
          </cell>
          <cell r="G45">
            <v>415</v>
          </cell>
          <cell r="H45">
            <v>9686</v>
          </cell>
          <cell r="I45">
            <v>1.21075</v>
          </cell>
        </row>
        <row r="46">
          <cell r="C46" t="str">
            <v>6975-370120</v>
          </cell>
          <cell r="D46" t="str">
            <v>2.7 SUCTION</v>
          </cell>
          <cell r="E46">
            <v>1285</v>
          </cell>
          <cell r="F46">
            <v>1200</v>
          </cell>
          <cell r="G46">
            <v>61</v>
          </cell>
          <cell r="H46">
            <v>360</v>
          </cell>
          <cell r="I46">
            <v>0.3</v>
          </cell>
        </row>
        <row r="47">
          <cell r="C47" t="str">
            <v>6975-340060</v>
          </cell>
          <cell r="D47" t="str">
            <v>ALL</v>
          </cell>
          <cell r="E47">
            <v>4500</v>
          </cell>
          <cell r="F47">
            <v>4100</v>
          </cell>
          <cell r="G47">
            <v>214</v>
          </cell>
          <cell r="H47">
            <v>1478</v>
          </cell>
          <cell r="I47">
            <v>0.36048780487804877</v>
          </cell>
        </row>
        <row r="48">
          <cell r="C48" t="str">
            <v>6975-850310</v>
          </cell>
          <cell r="D48" t="str">
            <v>GSL</v>
          </cell>
          <cell r="E48">
            <v>100</v>
          </cell>
          <cell r="F48">
            <v>300</v>
          </cell>
          <cell r="G48">
            <v>4</v>
          </cell>
          <cell r="H48">
            <v>5</v>
          </cell>
          <cell r="I48">
            <v>1.6666666666666666E-2</v>
          </cell>
        </row>
        <row r="49">
          <cell r="C49" t="str">
            <v>6975-860300</v>
          </cell>
          <cell r="D49" t="str">
            <v>GSL</v>
          </cell>
          <cell r="E49">
            <v>1500</v>
          </cell>
          <cell r="F49">
            <v>4000</v>
          </cell>
          <cell r="G49">
            <v>71</v>
          </cell>
          <cell r="H49">
            <v>0</v>
          </cell>
          <cell r="I49">
            <v>0</v>
          </cell>
        </row>
        <row r="50">
          <cell r="C50" t="str">
            <v>6975-880320</v>
          </cell>
          <cell r="D50" t="str">
            <v>GSL</v>
          </cell>
          <cell r="E50">
            <v>100</v>
          </cell>
          <cell r="F50">
            <v>300</v>
          </cell>
          <cell r="G50">
            <v>4</v>
          </cell>
          <cell r="H50">
            <v>0</v>
          </cell>
          <cell r="I50">
            <v>0</v>
          </cell>
        </row>
        <row r="51">
          <cell r="C51" t="str">
            <v>6975-870290</v>
          </cell>
          <cell r="D51" t="str">
            <v>GSL</v>
          </cell>
          <cell r="E51">
            <v>100</v>
          </cell>
          <cell r="F51">
            <v>300</v>
          </cell>
          <cell r="G51">
            <v>4</v>
          </cell>
          <cell r="H51">
            <v>0</v>
          </cell>
          <cell r="I51">
            <v>0</v>
          </cell>
        </row>
        <row r="52">
          <cell r="C52" t="str">
            <v>6975-010230</v>
          </cell>
          <cell r="D52" t="str">
            <v>XDC GSL</v>
          </cell>
          <cell r="E52">
            <v>7000</v>
          </cell>
          <cell r="F52">
            <v>7300</v>
          </cell>
          <cell r="G52">
            <v>333</v>
          </cell>
          <cell r="H52">
            <v>10500</v>
          </cell>
          <cell r="I52">
            <v>1.4383561643835616</v>
          </cell>
        </row>
        <row r="53">
          <cell r="C53" t="str">
            <v>6975-010390</v>
          </cell>
          <cell r="D53" t="str">
            <v>XDC DSL</v>
          </cell>
          <cell r="E53">
            <v>400</v>
          </cell>
          <cell r="F53">
            <v>400</v>
          </cell>
          <cell r="G53">
            <v>19</v>
          </cell>
          <cell r="H53">
            <v>600</v>
          </cell>
          <cell r="I53">
            <v>1.5</v>
          </cell>
        </row>
        <row r="54">
          <cell r="E54">
            <v>114703</v>
          </cell>
          <cell r="F54">
            <v>108900</v>
          </cell>
          <cell r="G54">
            <v>5455</v>
          </cell>
          <cell r="H54">
            <v>100951</v>
          </cell>
          <cell r="I54">
            <v>0.92700642791551879</v>
          </cell>
        </row>
        <row r="55">
          <cell r="C55" t="str">
            <v>2001-010010</v>
          </cell>
          <cell r="D55" t="str">
            <v>XD,GK 내수GSL</v>
          </cell>
          <cell r="E55">
            <v>12439</v>
          </cell>
          <cell r="F55">
            <v>11200</v>
          </cell>
          <cell r="G55">
            <v>592</v>
          </cell>
          <cell r="H55">
            <v>12400</v>
          </cell>
          <cell r="I55">
            <v>1.1071428571428572</v>
          </cell>
        </row>
        <row r="56">
          <cell r="C56" t="str">
            <v>2001-010070</v>
          </cell>
          <cell r="D56" t="str">
            <v>DSL</v>
          </cell>
          <cell r="E56">
            <v>660</v>
          </cell>
          <cell r="F56">
            <v>600</v>
          </cell>
          <cell r="G56">
            <v>31</v>
          </cell>
          <cell r="H56">
            <v>600</v>
          </cell>
          <cell r="I56">
            <v>1</v>
          </cell>
        </row>
        <row r="57">
          <cell r="C57" t="str">
            <v>2001-050050</v>
          </cell>
          <cell r="D57" t="str">
            <v>DSL</v>
          </cell>
          <cell r="E57">
            <v>3600</v>
          </cell>
          <cell r="F57">
            <v>3300</v>
          </cell>
          <cell r="G57">
            <v>171</v>
          </cell>
          <cell r="H57">
            <v>2300</v>
          </cell>
          <cell r="I57">
            <v>0.69696969696969702</v>
          </cell>
        </row>
        <row r="58">
          <cell r="C58" t="str">
            <v>2001-050040</v>
          </cell>
          <cell r="D58" t="str">
            <v>GSL</v>
          </cell>
          <cell r="E58">
            <v>2000</v>
          </cell>
          <cell r="F58">
            <v>1800</v>
          </cell>
          <cell r="G58">
            <v>95</v>
          </cell>
          <cell r="H58">
            <v>1600</v>
          </cell>
          <cell r="I58">
            <v>0.88888888888888884</v>
          </cell>
        </row>
        <row r="59">
          <cell r="C59" t="str">
            <v>2001-080020</v>
          </cell>
          <cell r="D59" t="str">
            <v>ALL</v>
          </cell>
          <cell r="E59">
            <v>1400</v>
          </cell>
          <cell r="F59">
            <v>1300</v>
          </cell>
          <cell r="G59">
            <v>66</v>
          </cell>
          <cell r="H59">
            <v>1295</v>
          </cell>
          <cell r="I59">
            <v>0.99615384615384617</v>
          </cell>
        </row>
        <row r="60">
          <cell r="C60" t="str">
            <v>2001-370120</v>
          </cell>
          <cell r="D60" t="str">
            <v>DSL</v>
          </cell>
          <cell r="E60">
            <v>7400</v>
          </cell>
          <cell r="F60">
            <v>6700</v>
          </cell>
          <cell r="G60">
            <v>352</v>
          </cell>
          <cell r="H60">
            <v>8548</v>
          </cell>
          <cell r="I60">
            <v>1.275820895522388</v>
          </cell>
        </row>
        <row r="61">
          <cell r="C61" t="str">
            <v>2001-370100</v>
          </cell>
          <cell r="D61" t="str">
            <v>GSL 2.0 일반</v>
          </cell>
          <cell r="E61">
            <v>1248</v>
          </cell>
          <cell r="F61">
            <v>1200</v>
          </cell>
          <cell r="G61">
            <v>59</v>
          </cell>
          <cell r="H61">
            <v>151</v>
          </cell>
          <cell r="I61">
            <v>0.12583333333333332</v>
          </cell>
        </row>
        <row r="62">
          <cell r="C62" t="str">
            <v>2001-370080</v>
          </cell>
          <cell r="D62" t="str">
            <v>GSL 2.7 일반</v>
          </cell>
          <cell r="E62">
            <v>1285</v>
          </cell>
          <cell r="F62">
            <v>1200</v>
          </cell>
          <cell r="G62">
            <v>61</v>
          </cell>
          <cell r="H62">
            <v>215</v>
          </cell>
          <cell r="I62">
            <v>0.17916666666666667</v>
          </cell>
        </row>
        <row r="63">
          <cell r="C63" t="str">
            <v>2001-370110</v>
          </cell>
          <cell r="D63" t="str">
            <v>GSL 2.0 북미</v>
          </cell>
          <cell r="E63">
            <v>67</v>
          </cell>
          <cell r="F63">
            <v>100</v>
          </cell>
          <cell r="G63">
            <v>3</v>
          </cell>
          <cell r="H63">
            <v>131</v>
          </cell>
          <cell r="I63">
            <v>1.31</v>
          </cell>
        </row>
        <row r="64">
          <cell r="C64" t="str">
            <v>2001-370090</v>
          </cell>
          <cell r="D64" t="str">
            <v>GSL 2.7 북미</v>
          </cell>
          <cell r="E64">
            <v>0</v>
          </cell>
          <cell r="G64">
            <v>0</v>
          </cell>
          <cell r="H64">
            <v>173</v>
          </cell>
          <cell r="I64" t="str">
            <v>-</v>
          </cell>
        </row>
        <row r="65">
          <cell r="E65">
            <v>30099</v>
          </cell>
          <cell r="F65">
            <v>27400</v>
          </cell>
          <cell r="G65">
            <v>1430</v>
          </cell>
          <cell r="H65">
            <v>27413</v>
          </cell>
          <cell r="I65">
            <v>1.0004744525547444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검토1"/>
      <sheetName val="검토2"/>
      <sheetName val="인상안"/>
      <sheetName val="계열사대비"/>
      <sheetName val="타사대비"/>
      <sheetName val="전후(계열)"/>
      <sheetName val="전후(타사)"/>
      <sheetName val="T&amp;C"/>
      <sheetName val="T&amp;C(공장)"/>
      <sheetName val="고합"/>
      <sheetName val="인건비"/>
      <sheetName val="원가"/>
      <sheetName val="기존+증설"/>
      <sheetName val="99HC"/>
      <sheetName val="99HS"/>
      <sheetName val="목록"/>
      <sheetName val="Control Sheet"/>
      <sheetName val="급여"/>
      <sheetName val="손익총괄"/>
      <sheetName val="01_12月_Lot별_판매실적.xls"/>
      <sheetName val="그룹"/>
      <sheetName val="세계1(DATA)"/>
      <sheetName val="1-12월"/>
      <sheetName val="표지 (2)"/>
      <sheetName val="외화금융(97-03)"/>
      <sheetName val="적용환율"/>
      <sheetName val="JUYO"/>
      <sheetName val="BOM CODE"/>
      <sheetName val="판가"/>
      <sheetName val="DATA"/>
      <sheetName val="MACRO1.XLM"/>
      <sheetName val="태광"/>
      <sheetName val="여신목표"/>
      <sheetName val="원자재수불(최종)"/>
      <sheetName val="Macro"/>
      <sheetName val="PL"/>
      <sheetName val="Macro1"/>
      <sheetName val="연령현황"/>
      <sheetName val="총무"/>
      <sheetName val="건물"/>
      <sheetName val="2sampleT"/>
      <sheetName val="쌍체T"/>
      <sheetName val="RE8실적"/>
      <sheetName val="예산내역서"/>
      <sheetName val="▷손익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표지"/>
      <sheetName val="목차"/>
      <sheetName val="96지원계획"/>
      <sheetName val="공진청"/>
      <sheetName val="업체분류"/>
      <sheetName val="지원일정"/>
      <sheetName val="신청현황(1)"/>
      <sheetName val="신청현황(2)"/>
      <sheetName val="96지원계획 (2)"/>
      <sheetName val="96지원계획 (3)"/>
      <sheetName val="연간계획"/>
      <sheetName val="GRAPH"/>
      <sheetName val="연간효과"/>
      <sheetName val="성과종합"/>
      <sheetName val="개선종합"/>
      <sheetName val="업체지원현황"/>
      <sheetName val="GRAPH작성례"/>
      <sheetName val="연간효과사례"/>
      <sheetName val="성과작성례"/>
      <sheetName val="개선종합례"/>
      <sheetName val="지원현황사례"/>
      <sheetName val="신청공문"/>
      <sheetName val="지도신청서"/>
      <sheetName val="공문송부업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DATA"/>
      <sheetName val="표지"/>
      <sheetName val="회사개요"/>
      <sheetName val="사업내용"/>
      <sheetName val="회사현황"/>
      <sheetName val="창원공장"/>
      <sheetName val="창원설비"/>
      <sheetName val="주요제품"/>
      <sheetName val="재무비율"/>
      <sheetName val="DATA(3)"/>
      <sheetName val="익산공장 "/>
      <sheetName val="익산설비"/>
      <sheetName val="익산제품"/>
    </sheetNames>
    <sheetDataSet>
      <sheetData sheetId="0">
        <row r="21">
          <cell r="C21">
            <v>1</v>
          </cell>
          <cell r="D21">
            <v>1</v>
          </cell>
          <cell r="E21">
            <v>1</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확인"/>
      <sheetName val="11수익성"/>
      <sheetName val="11월 시장별제품별판매"/>
      <sheetName val="11SG&amp;A"/>
      <sheetName val="11피벗"/>
      <sheetName val="11판매"/>
      <sheetName val="11고객별 담당자"/>
      <sheetName val="11data"/>
      <sheetName val="11EBIT"/>
      <sheetName val="11EBIT값"/>
      <sheetName val="10고객별 담당자"/>
      <sheetName val="06제품별수익성"/>
      <sheetName val="저압"/>
      <sheetName val="고압"/>
      <sheetName val="기어솔루션"/>
      <sheetName val="산기_주조_생관_품보"/>
      <sheetName val="본사"/>
      <sheetName val="07DATA"/>
      <sheetName val="07제품별수익성"/>
      <sheetName val="1_06수익성"/>
      <sheetName val="1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기안지"/>
      <sheetName val="근로계약"/>
      <sheetName val="조정(확정)"/>
      <sheetName val="조정안(10%) "/>
      <sheetName val="효성조정"/>
      <sheetName val="Sheet9"/>
      <sheetName val="Sheet10"/>
      <sheetName val="Sheet11"/>
      <sheetName val="Sheet12"/>
      <sheetName val="Sheet13"/>
      <sheetName val="Sheet14"/>
      <sheetName val="Sheet15"/>
      <sheetName val="Sheet16"/>
      <sheetName val="1급갑"/>
      <sheetName val="근속년수(입사일)"/>
      <sheetName val="10고객별 담당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검토1"/>
      <sheetName val="검토2"/>
      <sheetName val="인상안"/>
      <sheetName val="계열사대비"/>
      <sheetName val="타사대비"/>
      <sheetName val="전후(계열)"/>
      <sheetName val="전후(타사)"/>
      <sheetName val="T&amp;C"/>
      <sheetName val="T&amp;C(공장)"/>
      <sheetName val="고합"/>
      <sheetName val="인건비"/>
      <sheetName val="원가"/>
      <sheetName val="기존+증설"/>
      <sheetName val="99HC"/>
      <sheetName val="99HS"/>
      <sheetName val="99계획대비실적"/>
      <sheetName val="요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울산"/>
      <sheetName val="언양"/>
      <sheetName val="구미"/>
      <sheetName val="대구"/>
      <sheetName val="중연"/>
      <sheetName val="Macro"/>
      <sheetName val="진천"/>
      <sheetName val="1-12월"/>
      <sheetName val="용연"/>
      <sheetName val="광주"/>
      <sheetName val="#REF"/>
      <sheetName val="지우지마2"/>
      <sheetName val="Sheet2"/>
      <sheetName val="Sheet3"/>
      <sheetName val="화학PG계"/>
      <sheetName val="중공업PG계"/>
      <sheetName val="정보통신PG계"/>
      <sheetName val="무역PG계"/>
      <sheetName val="매출이익 (년간1002)"/>
      <sheetName val="Sheet1"/>
      <sheetName val="관리회계"/>
      <sheetName val="1월"/>
      <sheetName val="구list"/>
      <sheetName val="구입내역"/>
      <sheetName val="집계표"/>
      <sheetName val="Base"/>
      <sheetName val="10고객별 담당자"/>
      <sheetName val="목록"/>
      <sheetName val="実績表紙"/>
      <sheetName val="1_05고객별 담당자"/>
      <sheetName val="1_05수익성대비표"/>
      <sheetName val="조건표"/>
      <sheetName val="고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고현황"/>
      <sheetName val="일일생산현황"/>
      <sheetName val="기준UPMG현황"/>
      <sheetName val="Sheet1"/>
    </sheetNames>
    <sheetDataSet>
      <sheetData sheetId="0"/>
      <sheetData sheetId="1"/>
      <sheetData sheetId="2">
        <row r="7">
          <cell r="C7" t="str">
            <v>2000-010010</v>
          </cell>
          <cell r="D7">
            <v>13</v>
          </cell>
        </row>
        <row r="8">
          <cell r="C8" t="str">
            <v>2000-010020</v>
          </cell>
          <cell r="D8">
            <v>13</v>
          </cell>
        </row>
        <row r="9">
          <cell r="C9" t="str">
            <v>2000-010150</v>
          </cell>
          <cell r="D9">
            <v>8.5</v>
          </cell>
        </row>
        <row r="10">
          <cell r="C10" t="str">
            <v>2000-010430</v>
          </cell>
          <cell r="D10">
            <v>12</v>
          </cell>
        </row>
        <row r="11">
          <cell r="C11" t="str">
            <v>2000-050030</v>
          </cell>
          <cell r="D11">
            <v>11.5</v>
          </cell>
        </row>
        <row r="12">
          <cell r="C12" t="str">
            <v>2000-080100</v>
          </cell>
          <cell r="D12">
            <v>25</v>
          </cell>
        </row>
        <row r="13">
          <cell r="C13" t="str">
            <v>2000-080101</v>
          </cell>
          <cell r="D13">
            <v>25</v>
          </cell>
        </row>
        <row r="14">
          <cell r="C14" t="str">
            <v>2000-080110</v>
          </cell>
          <cell r="D14">
            <v>25</v>
          </cell>
        </row>
        <row r="15">
          <cell r="C15" t="str">
            <v>2000-130060</v>
          </cell>
          <cell r="D15">
            <v>12</v>
          </cell>
        </row>
        <row r="16">
          <cell r="C16" t="str">
            <v>2000-150070</v>
          </cell>
          <cell r="D16">
            <v>30</v>
          </cell>
        </row>
        <row r="17">
          <cell r="C17" t="str">
            <v>2000-160090</v>
          </cell>
          <cell r="D17">
            <v>12</v>
          </cell>
        </row>
        <row r="18">
          <cell r="C18" t="str">
            <v>2000-160300</v>
          </cell>
          <cell r="D18">
            <v>12</v>
          </cell>
        </row>
        <row r="19">
          <cell r="C19" t="str">
            <v>2000-160350</v>
          </cell>
          <cell r="D19">
            <v>12</v>
          </cell>
        </row>
        <row r="20">
          <cell r="C20" t="str">
            <v>2000-160440</v>
          </cell>
          <cell r="D20">
            <v>12</v>
          </cell>
        </row>
        <row r="21">
          <cell r="C21" t="str">
            <v>2000-170180</v>
          </cell>
          <cell r="D21">
            <v>12.5</v>
          </cell>
        </row>
        <row r="22">
          <cell r="C22" t="str">
            <v>2000-170190</v>
          </cell>
          <cell r="D22">
            <v>12.5</v>
          </cell>
        </row>
        <row r="23">
          <cell r="C23" t="str">
            <v>2000-170380</v>
          </cell>
          <cell r="D23">
            <v>12.5</v>
          </cell>
        </row>
        <row r="24">
          <cell r="C24" t="str">
            <v>2000-170390</v>
          </cell>
          <cell r="D24">
            <v>12.5</v>
          </cell>
        </row>
        <row r="25">
          <cell r="C25" t="str">
            <v>2000-180220</v>
          </cell>
          <cell r="D25">
            <v>13.5</v>
          </cell>
        </row>
        <row r="26">
          <cell r="C26" t="str">
            <v>2000-180800</v>
          </cell>
          <cell r="D26">
            <v>10</v>
          </cell>
        </row>
        <row r="27">
          <cell r="C27" t="str">
            <v>2000-190230</v>
          </cell>
          <cell r="D27">
            <v>31</v>
          </cell>
        </row>
        <row r="28">
          <cell r="C28" t="str">
            <v>2000-200240</v>
          </cell>
          <cell r="D28">
            <v>10</v>
          </cell>
        </row>
        <row r="29">
          <cell r="C29" t="str">
            <v>2000-200250</v>
          </cell>
          <cell r="D29">
            <v>25</v>
          </cell>
        </row>
        <row r="30">
          <cell r="C30" t="str">
            <v>2000-210260</v>
          </cell>
          <cell r="D30">
            <v>15</v>
          </cell>
        </row>
        <row r="31">
          <cell r="C31" t="str">
            <v>2000-210290</v>
          </cell>
          <cell r="D31">
            <v>15</v>
          </cell>
        </row>
        <row r="32">
          <cell r="C32" t="str">
            <v>2000-220270</v>
          </cell>
          <cell r="D32">
            <v>31</v>
          </cell>
        </row>
        <row r="33">
          <cell r="C33" t="str">
            <v>2000-230310</v>
          </cell>
          <cell r="D33">
            <v>11.5</v>
          </cell>
        </row>
        <row r="34">
          <cell r="C34" t="str">
            <v>2000-350640</v>
          </cell>
          <cell r="D34">
            <v>13</v>
          </cell>
        </row>
        <row r="35">
          <cell r="C35" t="str">
            <v>2000-350650</v>
          </cell>
          <cell r="D35">
            <v>13</v>
          </cell>
        </row>
        <row r="36">
          <cell r="C36" t="str">
            <v>2000-350660</v>
          </cell>
          <cell r="D36">
            <v>8.5</v>
          </cell>
        </row>
        <row r="37">
          <cell r="C37" t="str">
            <v>2001-010010</v>
          </cell>
          <cell r="D37">
            <v>250</v>
          </cell>
        </row>
        <row r="38">
          <cell r="C38" t="str">
            <v>2001-010070</v>
          </cell>
          <cell r="D38">
            <v>250</v>
          </cell>
        </row>
        <row r="39">
          <cell r="C39" t="str">
            <v>2001-050040</v>
          </cell>
          <cell r="D39">
            <v>250</v>
          </cell>
        </row>
        <row r="40">
          <cell r="C40" t="str">
            <v>2001-050050</v>
          </cell>
          <cell r="D40">
            <v>250</v>
          </cell>
        </row>
        <row r="41">
          <cell r="C41" t="str">
            <v>2001-080020</v>
          </cell>
          <cell r="D41">
            <v>50</v>
          </cell>
        </row>
        <row r="42">
          <cell r="C42" t="str">
            <v>2001-080030</v>
          </cell>
          <cell r="D42">
            <v>50</v>
          </cell>
        </row>
        <row r="43">
          <cell r="C43" t="str">
            <v>3011-010040</v>
          </cell>
          <cell r="D43">
            <v>0</v>
          </cell>
        </row>
        <row r="44">
          <cell r="C44" t="str">
            <v>3011-010050</v>
          </cell>
          <cell r="D44">
            <v>0</v>
          </cell>
        </row>
        <row r="45">
          <cell r="C45" t="str">
            <v>6178-080010</v>
          </cell>
          <cell r="D45">
            <v>25</v>
          </cell>
        </row>
        <row r="46">
          <cell r="C46" t="str">
            <v>6975-010190</v>
          </cell>
          <cell r="D46">
            <v>30</v>
          </cell>
        </row>
        <row r="47">
          <cell r="C47" t="str">
            <v>6975-270020</v>
          </cell>
          <cell r="D47">
            <v>20</v>
          </cell>
        </row>
        <row r="48">
          <cell r="C48" t="str">
            <v>6975-270101</v>
          </cell>
          <cell r="D48">
            <v>16</v>
          </cell>
        </row>
        <row r="49">
          <cell r="C49" t="str">
            <v>6975-350070</v>
          </cell>
          <cell r="D49">
            <v>30</v>
          </cell>
        </row>
        <row r="50">
          <cell r="C50" t="str">
            <v>6975-350080</v>
          </cell>
          <cell r="D50">
            <v>30</v>
          </cell>
        </row>
        <row r="51">
          <cell r="C51" t="str">
            <v>6975-350090</v>
          </cell>
          <cell r="D51">
            <v>30</v>
          </cell>
        </row>
        <row r="52">
          <cell r="C52" t="str">
            <v>6975-360170</v>
          </cell>
          <cell r="D52">
            <v>0</v>
          </cell>
        </row>
      </sheetData>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7사원별"/>
      <sheetName val="07제품별수익성"/>
      <sheetName val="07SG&amp;A"/>
      <sheetName val="07피벗값"/>
      <sheetName val="07DATA"/>
      <sheetName val="07피벗"/>
      <sheetName val="07판매"/>
      <sheetName val="07고객별 담당자"/>
      <sheetName val="공장전체"/>
      <sheetName val="업무과04"/>
      <sheetName val="업무과05"/>
      <sheetName val="별첨1"/>
      <sheetName val="예산내역서"/>
      <sheetName val="1-12월"/>
      <sheetName val="중공업PG계"/>
      <sheetName val="요약"/>
      <sheetName val="TNC(1안)"/>
      <sheetName val="손익총괄"/>
      <sheetName val="▷손익실적"/>
      <sheetName val="상품입고집계"/>
      <sheetName val="내역서"/>
      <sheetName val="11고객별 담당자"/>
      <sheetName val="04고객별 담당자"/>
      <sheetName val="직급실적"/>
      <sheetName val="99계획대비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data"/>
      <sheetName val="04판매"/>
      <sheetName val="04고객별 담당자"/>
      <sheetName val="03개인별실적(순서)"/>
      <sheetName val="03판매"/>
      <sheetName val="03사원별값"/>
      <sheetName val="03사원별"/>
      <sheetName val="03피벗값"/>
      <sheetName val="03data"/>
      <sheetName val="03피벗"/>
      <sheetName val="#REF"/>
      <sheetName val="#REF!"/>
      <sheetName val="울산"/>
      <sheetName val="본사인상전"/>
      <sheetName val="TNC(1안)"/>
      <sheetName val="07제품별수익성"/>
      <sheetName val="06제품별수익성"/>
      <sheetName val="연구실적"/>
      <sheetName val="연령현황"/>
      <sheetName val="--"/>
      <sheetName val="GR1"/>
      <sheetName val="TNC"/>
      <sheetName val="목록"/>
      <sheetName val="광주"/>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11고객별 담당자"/>
      <sheetName val="1급갑"/>
      <sheetName val="판매추이"/>
      <sheetName val="언양"/>
      <sheetName val="손익분석"/>
      <sheetName val="T&amp;C"/>
      <sheetName val="#REF"/>
      <sheetName val="버튼"/>
      <sheetName val="220 (2)"/>
      <sheetName val="04고객별 담당자"/>
      <sheetName val="CHAB'00기준"/>
      <sheetName val="교수설계"/>
      <sheetName val="Sub"/>
      <sheetName val="용연"/>
      <sheetName val="울산"/>
      <sheetName val="중연"/>
      <sheetName val="06제품별수익성"/>
      <sheetName val="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계획대비실적"/>
      <sheetName val="TNC(1안)"/>
      <sheetName val="98실적"/>
      <sheetName val="99계획"/>
      <sheetName val="99실적"/>
      <sheetName val="#REF"/>
      <sheetName val="중연"/>
      <sheetName val="대구"/>
      <sheetName val="구미"/>
      <sheetName val="11고객별 담당자"/>
      <sheetName val="년별RTMP"/>
      <sheetName val="요약"/>
      <sheetName val="판매현황(마감용)"/>
      <sheetName val="판매현황"/>
      <sheetName val="샘플_생관"/>
      <sheetName val="기획관리팀_본사"/>
      <sheetName val="기획관리팀_창원"/>
      <sheetName val="인사팀"/>
      <sheetName val="재무경리팀"/>
      <sheetName val="원가관리팀"/>
      <sheetName val="Global영업1팀"/>
      <sheetName val="Global영업2팀"/>
      <sheetName val="Global영업3팀"/>
      <sheetName val="Global마케팅팀"/>
      <sheetName val="PJT영업팀"/>
      <sheetName val="범용영업팀"/>
      <sheetName val="석유화학영업팀"/>
      <sheetName val="산업해양영업팀"/>
      <sheetName val="범용시장조사TFT"/>
      <sheetName val="기술1팀"/>
      <sheetName val="기술2팀"/>
      <sheetName val="견적시스템개발TFT"/>
      <sheetName val="기술연구1팀"/>
      <sheetName val="기술연구2팀"/>
      <sheetName val="개발팀"/>
      <sheetName val="MC PJT TFT"/>
      <sheetName val="담수영업팀"/>
      <sheetName val="담수기획팀"/>
      <sheetName val="담수기술팀"/>
      <sheetName val="담수기술팀_영흥현장"/>
      <sheetName val="담수기술팀_대산현장"/>
      <sheetName val="업무지원팀"/>
      <sheetName val="생산관리팀"/>
      <sheetName val="PM팀"/>
      <sheetName val="경영혁신팀"/>
      <sheetName val="구매팀"/>
      <sheetName val="외주구매팀"/>
      <sheetName val="주조기술팀"/>
      <sheetName val="원가혁신TFT"/>
      <sheetName val="아웃소싱TFT"/>
      <sheetName val="설계1팀"/>
      <sheetName val="설계2팀"/>
      <sheetName val="제작1팀"/>
      <sheetName val="제작2팀"/>
      <sheetName val="생산기술팀"/>
      <sheetName val="품질보증팀"/>
      <sheetName val="고객지원팀"/>
      <sheetName val="제작3팀"/>
      <sheetName val="SP Project TFT"/>
      <sheetName val="1월"/>
      <sheetName val="대표자"/>
      <sheetName val="생산량"/>
      <sheetName val="고합"/>
      <sheetName val="언양"/>
      <sheetName val="99공수"/>
      <sheetName val="06제품별수익성"/>
      <sheetName val="시산표"/>
      <sheetName val="1-12월"/>
      <sheetName val="07제품별수익성"/>
      <sheetName val="1_06고객별 담당자"/>
      <sheetName val="Sheet1"/>
      <sheetName val="광주"/>
      <sheetName val="Macro1"/>
      <sheetName val="직급실적"/>
      <sheetName val="hierarch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검토1"/>
      <sheetName val="검토2"/>
      <sheetName val="인상안"/>
      <sheetName val="계열사대비"/>
      <sheetName val="타사대비"/>
      <sheetName val="전후(계열)"/>
      <sheetName val="전후(타사)"/>
      <sheetName val="T&amp;C"/>
      <sheetName val="T&amp;C(공장)"/>
      <sheetName val="고합"/>
      <sheetName val="인건비"/>
      <sheetName val="원가"/>
      <sheetName val="기존+증설"/>
      <sheetName val="99HC"/>
      <sheetName val="99HS"/>
      <sheetName val="1_06고객별 담당자"/>
      <sheetName val="04고객별 담당자"/>
      <sheetName val="1_06수익성"/>
      <sheetName val="울산"/>
      <sheetName val="요약"/>
      <sheetName val="99계획대비실적"/>
      <sheetName val="businessplan"/>
      <sheetName val="11고객별 담당자"/>
      <sheetName val="원료구매"/>
      <sheetName val="DSP-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급실적"/>
      <sheetName val="지침서"/>
      <sheetName val="계전"/>
      <sheetName val="공수표"/>
      <sheetName val="관리공수"/>
      <sheetName val="총공수대비"/>
      <sheetName val="주교대"/>
      <sheetName val="총괄"/>
      <sheetName val="임금공수"/>
      <sheetName val="표지"/>
      <sheetName val="증설"/>
      <sheetName val="증설비용"/>
      <sheetName val="안공,울공"/>
      <sheetName val="울공대비"/>
      <sheetName val="예산내역서"/>
      <sheetName val="#REF"/>
      <sheetName val="본사인상전"/>
      <sheetName val="고합"/>
      <sheetName val="관거공사비"/>
      <sheetName val="Base"/>
      <sheetName val="4.결점내역"/>
      <sheetName val="생산량"/>
      <sheetName val="2. SC  BW  원화매출액(총괄)"/>
      <sheetName val="▶판가Trend(수정안)"/>
      <sheetName val="▶판매량Trend(수정안)"/>
      <sheetName val="Sheet1"/>
      <sheetName val="1-12월"/>
      <sheetName val="99계획대비실적"/>
      <sheetName val="울산실적"/>
      <sheetName val="시산표"/>
      <sheetName val="배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상안"/>
      <sheetName val="인건비 실적"/>
      <sheetName val="진천"/>
      <sheetName val="Sheet1"/>
    </sheetNames>
    <sheetDataSet>
      <sheetData sheetId="0">
        <row r="2">
          <cell r="C2">
            <v>10</v>
          </cell>
        </row>
      </sheetData>
      <sheetData sheetId="1"/>
      <sheetData sheetId="2" refreshError="1"/>
      <sheetData sheetId="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월 시장별제품별판매"/>
      <sheetName val="10SG&amp;A"/>
      <sheetName val="10고객별 담당자"/>
      <sheetName val="10수익성"/>
      <sheetName val="10피벗"/>
      <sheetName val="10피벗 (2)"/>
      <sheetName val="10EBIT"/>
      <sheetName val="10data"/>
      <sheetName val="10EBIT값"/>
      <sheetName val="Sheet2"/>
      <sheetName val="Sheet1"/>
      <sheetName val="10판매"/>
      <sheetName val="AA급 판가"/>
      <sheetName val="CEM"/>
      <sheetName val="07DATA"/>
      <sheetName val="1_03수익성대비표"/>
      <sheetName val="CHAB'00기준"/>
      <sheetName val="06제품별수익성"/>
      <sheetName val="적용환율"/>
      <sheetName val="実績表紙"/>
      <sheetName val="손익총괄"/>
      <sheetName val="T&amp;C"/>
      <sheetName val="개선안2"/>
      <sheetName val="개선안4"/>
      <sheetName val="배경"/>
      <sheetName val="목적"/>
      <sheetName val="WORK"/>
      <sheetName val="고합"/>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상효1"/>
      <sheetName val="2"/>
      <sheetName val="▶판매량Trend(수정안)"/>
      <sheetName val="▶판가Trend(수정안)"/>
      <sheetName val="07DATA"/>
      <sheetName val="비용"/>
      <sheetName val="수주잔"/>
      <sheetName val="TNC(1안)"/>
      <sheetName val="ÀÎ»óÈ¿1"/>
      <sheetName val="¢ºÆÇ¸Å·®Trend(¼öÁ¤¾È)"/>
      <sheetName val="¢ºÆÇ°¡Trend(¼öÁ¤¾È)"/>
      <sheetName val="ºñ¿ë"/>
      <sheetName val="TNC(1¾È)"/>
      <sheetName val="판매추이"/>
      <sheetName val="대구"/>
      <sheetName val="1-12월"/>
      <sheetName val="노임단가"/>
      <sheetName val="단가조사"/>
      <sheetName val="CODE표"/>
      <sheetName val="태광"/>
      <sheetName val="한빛은행_종합2001"/>
      <sheetName val="울산"/>
      <sheetName val="▷손익실적"/>
      <sheetName val="매출이익011h"/>
      <sheetName val="일위대가표"/>
      <sheetName val="내역"/>
      <sheetName val="내역서"/>
      <sheetName val="125PIECE"/>
      <sheetName val="중량CV% "/>
      <sheetName val="세부(종합)"/>
      <sheetName val="전체지분도"/>
      <sheetName val="Chi Tiet"/>
      <sheetName val="예산내역서"/>
      <sheetName val="Base"/>
      <sheetName val="시산표"/>
      <sheetName val="1-7 Dec"/>
      <sheetName val="22-31 Dec"/>
      <sheetName val="1-7 Nov"/>
      <sheetName val="Dec"/>
      <sheetName val="Jan 03"/>
      <sheetName val="22-30 Nov"/>
      <sheetName val="8호기TEST"/>
      <sheetName val="원가분석"/>
      <sheetName val="GR1"/>
      <sheetName val="--"/>
      <sheetName val="T&amp;C"/>
      <sheetName val="인상안"/>
      <sheetName val="9609Aß"/>
      <sheetName val="설치"/>
      <sheetName val="TH-XL"/>
      <sheetName val="총집계표"/>
      <sheetName val="???1"/>
      <sheetName val="쌍체T"/>
      <sheetName val="2sampleT"/>
      <sheetName val="직급실적"/>
      <sheetName val="SUS배관단가"/>
      <sheetName val="선형회귀"/>
      <sheetName val="1_05고객별 담당자"/>
      <sheetName val="1_05수익성대비표"/>
      <sheetName val="진천"/>
      <sheetName val="요약"/>
      <sheetName val="HVAC"/>
      <sheetName val="건축내역"/>
      <sheetName val="건축원가계산서"/>
      <sheetName val="99계획대비실적"/>
      <sheetName val="#REF"/>
      <sheetName val="버튼"/>
      <sheetName val="___1"/>
      <sheetName val="IN2"/>
      <sheetName val="구미"/>
      <sheetName val="생산량"/>
      <sheetName val="현금예금"/>
      <sheetName val="Macro1"/>
      <sheetName val="본부장"/>
      <sheetName val="단독"/>
      <sheetName val="아림"/>
      <sheetName val="유첨3)상세 고장유형"/>
      <sheetName val="JUYO"/>
      <sheetName val="문산_제품-브라스와이어_소요량"/>
      <sheetName val="3월"/>
      <sheetName val="일급제인원실적"/>
      <sheetName val="산자강선PU(배부후)"/>
      <sheetName val="불량율현황"/>
      <sheetName val="Macro(전기)"/>
      <sheetName val="용연"/>
      <sheetName val="광주"/>
      <sheetName val="언양"/>
      <sheetName val="중연"/>
      <sheetName val="완성차 미수금"/>
      <sheetName val="상품입고집계"/>
      <sheetName val="추정"/>
      <sheetName val="220 (2)"/>
      <sheetName val="본사인상전"/>
      <sheetName val="고합"/>
      <sheetName val="WorkPLM"/>
      <sheetName val="단가산출"/>
      <sheetName val="교수설계"/>
      <sheetName val="总"/>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태광"/>
      <sheetName val="인상효1"/>
      <sheetName val="요약"/>
    </sheetNames>
    <sheetDataSet>
      <sheetData sheetId="0"/>
      <sheetData sheetId="1" refreshError="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용"/>
      <sheetName val="생산량"/>
      <sheetName val="가동율,Waste"/>
      <sheetName val="사절수"/>
      <sheetName val="AA,공정사고"/>
      <sheetName val="인원,공수"/>
      <sheetName val="생산성"/>
      <sheetName val="손익총괄"/>
      <sheetName val="SERVICE"/>
      <sheetName val="한성교회 신축공사(050713)_CheckList"/>
      <sheetName val="인상효1"/>
      <sheetName val="기준Data"/>
      <sheetName val="집계표"/>
      <sheetName val="DATA"/>
      <sheetName val="광주"/>
      <sheetName val="#REF"/>
      <sheetName val="중연"/>
      <sheetName val="울산"/>
      <sheetName val="구미"/>
      <sheetName val="Macro"/>
      <sheetName val="용연"/>
      <sheetName val="4.IDEA관리시트"/>
      <sheetName val="태광"/>
      <sheetName val="본사인상전"/>
      <sheetName val="실행내역서 "/>
      <sheetName val="판매추이"/>
      <sheetName val="언양"/>
      <sheetName val="HGAN9702"/>
      <sheetName val="요약"/>
      <sheetName val="07DATA"/>
      <sheetName val="SCord"/>
      <sheetName val="예산내역서"/>
      <sheetName val="중량CV% "/>
      <sheetName val="Sheet1"/>
      <sheetName val="참조"/>
      <sheetName val="쌍체T"/>
      <sheetName val="2sampleT"/>
      <sheetName val="선형회귀"/>
      <sheetName val="WORK"/>
      <sheetName val="JUYO"/>
      <sheetName val="내역"/>
      <sheetName val="businessplan"/>
      <sheetName val="Base"/>
      <sheetName val="진천"/>
      <sheetName val="안양"/>
      <sheetName val="10.25"/>
      <sheetName val="신우"/>
      <sheetName val="한빛은행_종합2001"/>
      <sheetName val="总"/>
      <sheetName val="연령현황"/>
      <sheetName val="3월"/>
      <sheetName val="薬品リスト"/>
      <sheetName val="07제품별수익성"/>
      <sheetName val="노임단가"/>
      <sheetName val="단가조사"/>
      <sheetName val="시산표"/>
      <sheetName val="대구"/>
      <sheetName val="고합Ⅰ"/>
      <sheetName val="고합Ⅱ"/>
      <sheetName val="기준"/>
      <sheetName val="건축개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7제품별수익성"/>
      <sheetName val="7월시장별제품별판매"/>
      <sheetName val="07SG&amp;A"/>
      <sheetName val="07피벗"/>
      <sheetName val="07DATA"/>
      <sheetName val="07EBIT"/>
      <sheetName val="07EBIT값"/>
      <sheetName val="special"/>
      <sheetName val="07판매"/>
      <sheetName val="07고객별 담당자"/>
      <sheetName val="CEM"/>
      <sheetName val="09년 AP(오덕현)"/>
      <sheetName val="#REF"/>
      <sheetName val="용연"/>
      <sheetName val="울산"/>
      <sheetName val="진천"/>
      <sheetName val="구미"/>
      <sheetName val="대구"/>
      <sheetName val="언양"/>
      <sheetName val="10고객별 담당자"/>
      <sheetName val="Macro"/>
      <sheetName val="04고객별 담당자"/>
      <sheetName val="인상안"/>
      <sheetName val="손익총괄"/>
      <sheetName val="수불부"/>
      <sheetName val="판매추이"/>
      <sheetName val="T&amp;C"/>
      <sheetName val="적용환율"/>
      <sheetName val="TNC(1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수설계"/>
      <sheetName val="JUYO"/>
      <sheetName val="CHAB"/>
      <sheetName val="중연"/>
      <sheetName val="판매12월"/>
      <sheetName val="본사인상전"/>
      <sheetName val="1_05고객별 담당자"/>
      <sheetName val="1_05수익성대비표"/>
      <sheetName val="비용"/>
      <sheetName val="내역"/>
      <sheetName val="Sheet1"/>
      <sheetName val="EX-R"/>
      <sheetName val="준공정산"/>
      <sheetName val="구미2월"/>
      <sheetName val="안양2월"/>
      <sheetName val="04고객별 담당자"/>
      <sheetName val="이론&amp;가동"/>
      <sheetName val="薬品リスト"/>
      <sheetName val="CHAB'00기준"/>
      <sheetName val="TNC(1안)"/>
      <sheetName val="복사표"/>
      <sheetName val="풍량"/>
      <sheetName val="Waste Recovery 일보"/>
      <sheetName val="용연"/>
      <sheetName val="#REF!"/>
      <sheetName val="인상효1"/>
      <sheetName val="태광"/>
      <sheetName val="220 (2)"/>
      <sheetName val="고합"/>
      <sheetName val="연선,습식_청도"/>
      <sheetName val="울산"/>
      <sheetName val="대구"/>
      <sheetName val="#REF"/>
      <sheetName val="01_12月_Lot별_판매실적.xls"/>
      <sheetName val="신임차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명"/>
      <sheetName val="213명"/>
      <sheetName val="220 (2)"/>
      <sheetName val="203명 (2)"/>
      <sheetName val="인원현황"/>
      <sheetName val="개요"/>
      <sheetName val="특강요지"/>
      <sheetName val="CHAB'00기준"/>
      <sheetName val="교수설계"/>
      <sheetName val="진천"/>
      <sheetName val="04고객별 담당자"/>
      <sheetName val="본사인상전"/>
      <sheetName val="판매추이"/>
    </sheetNames>
    <sheetDataSet>
      <sheetData sheetId="0"/>
      <sheetData sheetId="1"/>
      <sheetData sheetId="2" refreshError="1">
        <row r="7">
          <cell r="A7">
            <v>199</v>
          </cell>
          <cell r="B7" t="str">
            <v>김영은</v>
          </cell>
          <cell r="C7" t="str">
            <v>연세대</v>
          </cell>
          <cell r="D7" t="str">
            <v>건축공</v>
          </cell>
          <cell r="G7">
            <v>1</v>
          </cell>
          <cell r="H7" t="str">
            <v>02-3443-3534</v>
          </cell>
          <cell r="I7" t="str">
            <v>011-245-0259</v>
          </cell>
          <cell r="J7">
            <v>167</v>
          </cell>
          <cell r="K7">
            <v>54</v>
          </cell>
          <cell r="L7">
            <v>95</v>
          </cell>
        </row>
        <row r="8">
          <cell r="A8">
            <v>75</v>
          </cell>
          <cell r="B8" t="str">
            <v>송현주</v>
          </cell>
          <cell r="C8" t="str">
            <v>숙명여대</v>
          </cell>
          <cell r="D8" t="str">
            <v>국어(국문)</v>
          </cell>
          <cell r="G8">
            <v>2</v>
          </cell>
          <cell r="H8" t="str">
            <v>02-374-5561</v>
          </cell>
          <cell r="I8" t="str">
            <v>016-598-5032</v>
          </cell>
          <cell r="J8">
            <v>164</v>
          </cell>
          <cell r="K8">
            <v>50</v>
          </cell>
          <cell r="L8">
            <v>90</v>
          </cell>
        </row>
        <row r="9">
          <cell r="A9">
            <v>176</v>
          </cell>
          <cell r="B9" t="str">
            <v>최영혜</v>
          </cell>
          <cell r="C9" t="str">
            <v>연세대</v>
          </cell>
          <cell r="D9" t="str">
            <v>국어(국문)</v>
          </cell>
          <cell r="G9">
            <v>3</v>
          </cell>
          <cell r="H9" t="str">
            <v>02-386-1122</v>
          </cell>
          <cell r="I9" t="str">
            <v>011-9789-0076</v>
          </cell>
          <cell r="J9">
            <v>160</v>
          </cell>
          <cell r="K9">
            <v>45</v>
          </cell>
          <cell r="L9">
            <v>90</v>
          </cell>
        </row>
        <row r="10">
          <cell r="A10">
            <v>139</v>
          </cell>
          <cell r="B10" t="str">
            <v>임승신</v>
          </cell>
          <cell r="C10" t="str">
            <v>연세대</v>
          </cell>
          <cell r="D10" t="str">
            <v>독어(독문)</v>
          </cell>
          <cell r="G10">
            <v>4</v>
          </cell>
          <cell r="H10" t="str">
            <v>02-2646-4249</v>
          </cell>
          <cell r="I10" t="str">
            <v>019-688-0918</v>
          </cell>
          <cell r="J10">
            <v>160</v>
          </cell>
          <cell r="K10">
            <v>50</v>
          </cell>
          <cell r="L10">
            <v>90</v>
          </cell>
        </row>
        <row r="11">
          <cell r="A11">
            <v>116</v>
          </cell>
          <cell r="B11" t="str">
            <v>이상원</v>
          </cell>
          <cell r="C11" t="str">
            <v>서울대</v>
          </cell>
          <cell r="D11" t="str">
            <v>동양사학</v>
          </cell>
          <cell r="G11">
            <v>5</v>
          </cell>
          <cell r="H11" t="str">
            <v>02-871-1680</v>
          </cell>
          <cell r="I11" t="str">
            <v>017-390-1680</v>
          </cell>
          <cell r="J11">
            <v>170</v>
          </cell>
          <cell r="K11">
            <v>64</v>
          </cell>
          <cell r="L11">
            <v>95</v>
          </cell>
        </row>
        <row r="12">
          <cell r="A12">
            <v>147</v>
          </cell>
          <cell r="B12" t="str">
            <v>전주연</v>
          </cell>
          <cell r="C12" t="str">
            <v>연세대</v>
          </cell>
          <cell r="D12" t="str">
            <v>문헌정보</v>
          </cell>
          <cell r="G12">
            <v>6</v>
          </cell>
          <cell r="H12" t="str">
            <v>02-677-0118</v>
          </cell>
          <cell r="I12" t="str">
            <v>016-311-4701</v>
          </cell>
          <cell r="J12">
            <v>156</v>
          </cell>
          <cell r="K12">
            <v>53</v>
          </cell>
          <cell r="L12">
            <v>90</v>
          </cell>
        </row>
        <row r="13">
          <cell r="A13">
            <v>92</v>
          </cell>
          <cell r="B13" t="str">
            <v>오은영</v>
          </cell>
          <cell r="C13" t="str">
            <v>미국]Rutgers대</v>
          </cell>
          <cell r="D13" t="str">
            <v>불어</v>
          </cell>
          <cell r="G13">
            <v>7</v>
          </cell>
          <cell r="H13" t="str">
            <v>02-569-3631</v>
          </cell>
          <cell r="I13" t="str">
            <v>011-9744-3345</v>
          </cell>
          <cell r="J13">
            <v>163</v>
          </cell>
          <cell r="K13">
            <v>65</v>
          </cell>
          <cell r="L13">
            <v>90</v>
          </cell>
        </row>
        <row r="14">
          <cell r="A14">
            <v>73</v>
          </cell>
          <cell r="B14" t="str">
            <v>손지흔</v>
          </cell>
          <cell r="C14" t="str">
            <v>이화여대</v>
          </cell>
          <cell r="D14" t="str">
            <v>불어</v>
          </cell>
          <cell r="G14">
            <v>8</v>
          </cell>
          <cell r="H14" t="str">
            <v>02-449-4779</v>
          </cell>
          <cell r="I14" t="str">
            <v>011-303-4779</v>
          </cell>
          <cell r="J14">
            <v>155</v>
          </cell>
          <cell r="K14">
            <v>47</v>
          </cell>
          <cell r="L14">
            <v>90</v>
          </cell>
        </row>
        <row r="15">
          <cell r="A15">
            <v>32</v>
          </cell>
          <cell r="B15" t="str">
            <v>김지영</v>
          </cell>
          <cell r="C15" t="str">
            <v>이화여대</v>
          </cell>
          <cell r="D15" t="str">
            <v>불어</v>
          </cell>
          <cell r="G15">
            <v>9</v>
          </cell>
          <cell r="H15" t="str">
            <v>02-3461-7679</v>
          </cell>
          <cell r="I15" t="str">
            <v>015-8474-0737</v>
          </cell>
          <cell r="J15">
            <v>163</v>
          </cell>
          <cell r="K15">
            <v>53</v>
          </cell>
          <cell r="L15">
            <v>90</v>
          </cell>
        </row>
        <row r="16">
          <cell r="A16">
            <v>76</v>
          </cell>
          <cell r="B16" t="str">
            <v>신서현</v>
          </cell>
          <cell r="C16" t="str">
            <v>연세대</v>
          </cell>
          <cell r="D16" t="str">
            <v>사회복지</v>
          </cell>
          <cell r="G16">
            <v>10</v>
          </cell>
          <cell r="H16" t="str">
            <v>0343-381-9721</v>
          </cell>
          <cell r="I16" t="str">
            <v>011-248-8520</v>
          </cell>
          <cell r="J16">
            <v>168</v>
          </cell>
          <cell r="K16">
            <v>57</v>
          </cell>
          <cell r="L16">
            <v>95</v>
          </cell>
        </row>
        <row r="17">
          <cell r="A17">
            <v>44</v>
          </cell>
          <cell r="B17" t="str">
            <v>민병희</v>
          </cell>
          <cell r="C17" t="str">
            <v>이화여대</v>
          </cell>
          <cell r="D17" t="str">
            <v>사회복지</v>
          </cell>
          <cell r="G17">
            <v>11</v>
          </cell>
          <cell r="H17" t="str">
            <v>02-537-4257</v>
          </cell>
          <cell r="I17" t="str">
            <v>018-214-9501</v>
          </cell>
          <cell r="J17">
            <v>161</v>
          </cell>
          <cell r="K17">
            <v>51</v>
          </cell>
          <cell r="L17">
            <v>90</v>
          </cell>
        </row>
        <row r="18">
          <cell r="A18">
            <v>20</v>
          </cell>
          <cell r="B18" t="str">
            <v>남경우</v>
          </cell>
          <cell r="C18" t="str">
            <v>성균관대</v>
          </cell>
          <cell r="D18" t="str">
            <v>섬유</v>
          </cell>
          <cell r="E18" t="str">
            <v>성균관대</v>
          </cell>
          <cell r="F18" t="str">
            <v>섬유</v>
          </cell>
          <cell r="G18">
            <v>12</v>
          </cell>
          <cell r="I18" t="str">
            <v>017-267-2824</v>
          </cell>
          <cell r="M18" t="str">
            <v>연구소 채용자</v>
          </cell>
        </row>
        <row r="19">
          <cell r="A19">
            <v>163</v>
          </cell>
          <cell r="B19" t="str">
            <v>조장은</v>
          </cell>
          <cell r="C19" t="str">
            <v>고려대</v>
          </cell>
          <cell r="D19" t="str">
            <v>영어(영문)</v>
          </cell>
          <cell r="G19">
            <v>13</v>
          </cell>
          <cell r="H19" t="str">
            <v>02-2612-8498</v>
          </cell>
          <cell r="I19" t="str">
            <v>019-383-1485</v>
          </cell>
          <cell r="J19">
            <v>165</v>
          </cell>
          <cell r="K19">
            <v>53</v>
          </cell>
          <cell r="L19">
            <v>95</v>
          </cell>
        </row>
        <row r="20">
          <cell r="A20">
            <v>85</v>
          </cell>
          <cell r="B20" t="str">
            <v>양선이</v>
          </cell>
          <cell r="C20" t="str">
            <v>성균관대</v>
          </cell>
          <cell r="D20" t="str">
            <v>영어(영문)</v>
          </cell>
          <cell r="G20">
            <v>14</v>
          </cell>
          <cell r="H20" t="str">
            <v>0344-973-2930</v>
          </cell>
          <cell r="I20" t="str">
            <v>019-216-7623</v>
          </cell>
          <cell r="J20">
            <v>170</v>
          </cell>
          <cell r="K20">
            <v>55</v>
          </cell>
          <cell r="L20">
            <v>95</v>
          </cell>
        </row>
        <row r="21">
          <cell r="A21">
            <v>185</v>
          </cell>
          <cell r="B21" t="str">
            <v>한혜리</v>
          </cell>
          <cell r="C21" t="str">
            <v>숙명여대</v>
          </cell>
          <cell r="D21" t="str">
            <v>영어(영문)</v>
          </cell>
          <cell r="G21">
            <v>15</v>
          </cell>
          <cell r="H21" t="str">
            <v>0344-915-3744</v>
          </cell>
          <cell r="I21" t="str">
            <v>019-263-3744</v>
          </cell>
          <cell r="J21">
            <v>162</v>
          </cell>
          <cell r="K21">
            <v>47</v>
          </cell>
          <cell r="L21">
            <v>90</v>
          </cell>
        </row>
        <row r="22">
          <cell r="A22">
            <v>168</v>
          </cell>
          <cell r="B22" t="str">
            <v>지민선</v>
          </cell>
          <cell r="C22" t="str">
            <v>연세대</v>
          </cell>
          <cell r="D22" t="str">
            <v>영어(영문)</v>
          </cell>
          <cell r="G22">
            <v>16</v>
          </cell>
          <cell r="H22" t="str">
            <v>02-354-3900</v>
          </cell>
          <cell r="I22" t="str">
            <v>016-236-4802</v>
          </cell>
          <cell r="J22">
            <v>163</v>
          </cell>
          <cell r="K22">
            <v>48</v>
          </cell>
          <cell r="L22">
            <v>90</v>
          </cell>
        </row>
        <row r="23">
          <cell r="A23">
            <v>1</v>
          </cell>
          <cell r="B23" t="str">
            <v>권정교</v>
          </cell>
          <cell r="C23" t="str">
            <v>연세대</v>
          </cell>
          <cell r="D23" t="str">
            <v>영어(영문)</v>
          </cell>
          <cell r="G23">
            <v>17</v>
          </cell>
          <cell r="H23" t="str">
            <v>02-515-9011</v>
          </cell>
          <cell r="I23" t="str">
            <v>019-397-0325</v>
          </cell>
          <cell r="J23">
            <v>164</v>
          </cell>
          <cell r="K23">
            <v>47</v>
          </cell>
          <cell r="L23">
            <v>90</v>
          </cell>
          <cell r="M23" t="str">
            <v>추가자</v>
          </cell>
        </row>
        <row r="24">
          <cell r="A24">
            <v>82</v>
          </cell>
          <cell r="B24" t="str">
            <v>안지혜</v>
          </cell>
          <cell r="C24" t="str">
            <v>이화여대</v>
          </cell>
          <cell r="D24" t="str">
            <v>영어(영문)</v>
          </cell>
          <cell r="G24">
            <v>18</v>
          </cell>
          <cell r="H24" t="str">
            <v>02-2646-2927</v>
          </cell>
          <cell r="I24" t="str">
            <v>017-704-2927</v>
          </cell>
          <cell r="J24">
            <v>160</v>
          </cell>
          <cell r="K24">
            <v>45</v>
          </cell>
          <cell r="L24">
            <v>90</v>
          </cell>
        </row>
        <row r="25">
          <cell r="A25">
            <v>155</v>
          </cell>
          <cell r="B25" t="str">
            <v>정원원</v>
          </cell>
          <cell r="C25" t="str">
            <v>북경제2외국어대학</v>
          </cell>
          <cell r="D25" t="str">
            <v>외국어학</v>
          </cell>
          <cell r="G25">
            <v>19</v>
          </cell>
          <cell r="H25" t="str">
            <v>02-2299-7532</v>
          </cell>
          <cell r="I25" t="str">
            <v>019-301-9168</v>
          </cell>
          <cell r="J25">
            <v>161</v>
          </cell>
          <cell r="K25">
            <v>48</v>
          </cell>
          <cell r="L25">
            <v>90</v>
          </cell>
        </row>
        <row r="26">
          <cell r="A26">
            <v>69</v>
          </cell>
          <cell r="B26" t="str">
            <v>서연진</v>
          </cell>
          <cell r="C26" t="str">
            <v>서울대</v>
          </cell>
          <cell r="D26" t="str">
            <v>자원공</v>
          </cell>
          <cell r="G26">
            <v>20</v>
          </cell>
          <cell r="H26" t="str">
            <v>0344-916-0425</v>
          </cell>
          <cell r="I26" t="str">
            <v>011-9088-4894</v>
          </cell>
          <cell r="J26">
            <v>165</v>
          </cell>
          <cell r="K26">
            <v>76</v>
          </cell>
          <cell r="L26">
            <v>95</v>
          </cell>
        </row>
        <row r="27">
          <cell r="A27">
            <v>171</v>
          </cell>
          <cell r="B27" t="str">
            <v>최경향</v>
          </cell>
          <cell r="C27" t="str">
            <v>부산대</v>
          </cell>
          <cell r="D27" t="str">
            <v>전자계산</v>
          </cell>
          <cell r="G27">
            <v>21</v>
          </cell>
          <cell r="H27" t="str">
            <v>0561-772-1265</v>
          </cell>
          <cell r="I27" t="str">
            <v>016-568-1265</v>
          </cell>
          <cell r="J27">
            <v>160</v>
          </cell>
          <cell r="K27">
            <v>48</v>
          </cell>
          <cell r="L27">
            <v>90</v>
          </cell>
        </row>
        <row r="28">
          <cell r="A28">
            <v>149</v>
          </cell>
          <cell r="B28" t="str">
            <v>전혜윤</v>
          </cell>
          <cell r="C28" t="str">
            <v>이화여대</v>
          </cell>
          <cell r="D28" t="str">
            <v>전자계산</v>
          </cell>
          <cell r="G28">
            <v>22</v>
          </cell>
          <cell r="H28" t="str">
            <v>032-867-2189</v>
          </cell>
          <cell r="I28" t="str">
            <v>017-327-2189</v>
          </cell>
          <cell r="J28">
            <v>160</v>
          </cell>
          <cell r="K28">
            <v>57</v>
          </cell>
          <cell r="L28">
            <v>90</v>
          </cell>
        </row>
        <row r="29">
          <cell r="A29">
            <v>143</v>
          </cell>
          <cell r="B29" t="str">
            <v>장진경</v>
          </cell>
          <cell r="C29" t="str">
            <v>이화여대</v>
          </cell>
          <cell r="D29" t="str">
            <v>정보디자인</v>
          </cell>
          <cell r="G29">
            <v>23</v>
          </cell>
          <cell r="H29" t="str">
            <v>02-839-4765</v>
          </cell>
          <cell r="I29" t="str">
            <v>016-230-4765</v>
          </cell>
          <cell r="J29">
            <v>161</v>
          </cell>
          <cell r="K29">
            <v>45</v>
          </cell>
          <cell r="L29">
            <v>90</v>
          </cell>
        </row>
        <row r="30">
          <cell r="A30">
            <v>74</v>
          </cell>
          <cell r="B30" t="str">
            <v>송연승</v>
          </cell>
          <cell r="C30" t="str">
            <v>중국] 북경대</v>
          </cell>
          <cell r="D30" t="str">
            <v>중문과</v>
          </cell>
          <cell r="G30">
            <v>24</v>
          </cell>
          <cell r="H30" t="str">
            <v>02-3431-9483</v>
          </cell>
          <cell r="J30">
            <v>163</v>
          </cell>
          <cell r="K30">
            <v>48</v>
          </cell>
          <cell r="L30">
            <v>90</v>
          </cell>
        </row>
        <row r="31">
          <cell r="A31">
            <v>66</v>
          </cell>
          <cell r="B31" t="str">
            <v>백소영</v>
          </cell>
          <cell r="C31" t="str">
            <v>고려대</v>
          </cell>
          <cell r="D31" t="str">
            <v>철학</v>
          </cell>
          <cell r="G31">
            <v>25</v>
          </cell>
          <cell r="H31" t="str">
            <v>02-479-2520</v>
          </cell>
          <cell r="I31" t="str">
            <v>017-206-0629</v>
          </cell>
          <cell r="J31">
            <v>154</v>
          </cell>
          <cell r="K31">
            <v>43</v>
          </cell>
          <cell r="L31">
            <v>90</v>
          </cell>
        </row>
        <row r="32">
          <cell r="A32">
            <v>14</v>
          </cell>
          <cell r="B32" t="str">
            <v>김미지</v>
          </cell>
          <cell r="C32" t="str">
            <v>고려대</v>
          </cell>
          <cell r="D32" t="str">
            <v>철학</v>
          </cell>
          <cell r="G32">
            <v>26</v>
          </cell>
          <cell r="H32" t="str">
            <v>0344-912-3070</v>
          </cell>
          <cell r="I32" t="str">
            <v>017-254-1977</v>
          </cell>
          <cell r="J32">
            <v>155</v>
          </cell>
          <cell r="K32">
            <v>47</v>
          </cell>
          <cell r="L32">
            <v>90</v>
          </cell>
          <cell r="M32" t="str">
            <v>추가될 가능</v>
          </cell>
        </row>
        <row r="33">
          <cell r="A33">
            <v>174</v>
          </cell>
          <cell r="B33" t="str">
            <v>최선경</v>
          </cell>
          <cell r="C33" t="str">
            <v>한양대</v>
          </cell>
          <cell r="D33" t="str">
            <v>컴퓨터</v>
          </cell>
          <cell r="G33">
            <v>27</v>
          </cell>
          <cell r="H33" t="str">
            <v>032-348-5103</v>
          </cell>
          <cell r="I33" t="str">
            <v>017-347-2611</v>
          </cell>
          <cell r="J33">
            <v>160</v>
          </cell>
          <cell r="K33">
            <v>46</v>
          </cell>
          <cell r="L33">
            <v>90</v>
          </cell>
        </row>
        <row r="34">
          <cell r="A34">
            <v>19</v>
          </cell>
          <cell r="B34" t="str">
            <v>김승영</v>
          </cell>
          <cell r="C34" t="str">
            <v>연세대</v>
          </cell>
          <cell r="D34" t="str">
            <v>행정</v>
          </cell>
          <cell r="G34">
            <v>28</v>
          </cell>
          <cell r="H34" t="str">
            <v>02-3272-5609</v>
          </cell>
          <cell r="I34" t="str">
            <v>017-238-5609</v>
          </cell>
          <cell r="J34">
            <v>164</v>
          </cell>
          <cell r="K34">
            <v>48</v>
          </cell>
          <cell r="L34">
            <v>90</v>
          </cell>
        </row>
        <row r="35">
          <cell r="A35">
            <v>56</v>
          </cell>
          <cell r="B35" t="str">
            <v>박윤아</v>
          </cell>
          <cell r="C35" t="str">
            <v>중앙대</v>
          </cell>
          <cell r="D35" t="str">
            <v>화공</v>
          </cell>
          <cell r="G35">
            <v>29</v>
          </cell>
          <cell r="H35" t="str">
            <v>017-205-4741</v>
          </cell>
          <cell r="I35" t="str">
            <v>017-205-4741</v>
          </cell>
          <cell r="J35">
            <v>157</v>
          </cell>
          <cell r="K35">
            <v>45</v>
          </cell>
          <cell r="L35">
            <v>90</v>
          </cell>
        </row>
        <row r="36">
          <cell r="A36">
            <v>25</v>
          </cell>
          <cell r="B36" t="str">
            <v>김유란</v>
          </cell>
          <cell r="C36" t="str">
            <v>연세대</v>
          </cell>
          <cell r="D36" t="str">
            <v>화학</v>
          </cell>
          <cell r="G36">
            <v>30</v>
          </cell>
          <cell r="H36" t="str">
            <v>02-394-9215</v>
          </cell>
          <cell r="I36" t="str">
            <v>016-215-9215</v>
          </cell>
          <cell r="J36">
            <v>168</v>
          </cell>
          <cell r="K36">
            <v>50</v>
          </cell>
          <cell r="L36">
            <v>95</v>
          </cell>
        </row>
        <row r="37">
          <cell r="A37">
            <v>188</v>
          </cell>
          <cell r="B37" t="str">
            <v>홍수진</v>
          </cell>
          <cell r="C37" t="str">
            <v>연세대</v>
          </cell>
          <cell r="D37" t="str">
            <v>화학</v>
          </cell>
          <cell r="E37" t="str">
            <v>포항공대</v>
          </cell>
          <cell r="F37" t="str">
            <v>환경공학</v>
          </cell>
          <cell r="G37">
            <v>31</v>
          </cell>
          <cell r="H37" t="str">
            <v>0562-279-8318</v>
          </cell>
          <cell r="I37" t="str">
            <v>017-293-0702</v>
          </cell>
          <cell r="J37">
            <v>165</v>
          </cell>
          <cell r="K37">
            <v>59</v>
          </cell>
          <cell r="L37">
            <v>95</v>
          </cell>
        </row>
        <row r="38">
          <cell r="A38">
            <v>81</v>
          </cell>
          <cell r="B38" t="str">
            <v>안덕준</v>
          </cell>
          <cell r="C38" t="str">
            <v>한양대</v>
          </cell>
          <cell r="D38" t="str">
            <v>건축공</v>
          </cell>
          <cell r="H38" t="str">
            <v>0344-905-2758</v>
          </cell>
          <cell r="I38" t="str">
            <v>011-765-2758</v>
          </cell>
          <cell r="J38">
            <v>175</v>
          </cell>
          <cell r="K38">
            <v>65</v>
          </cell>
          <cell r="L38">
            <v>100</v>
          </cell>
        </row>
        <row r="39">
          <cell r="A39">
            <v>65</v>
          </cell>
          <cell r="B39" t="str">
            <v>백성원</v>
          </cell>
          <cell r="C39" t="str">
            <v>고려대</v>
          </cell>
          <cell r="D39" t="str">
            <v>건축공</v>
          </cell>
          <cell r="H39" t="str">
            <v>02-658-0335</v>
          </cell>
          <cell r="I39" t="str">
            <v>012-1891-8859</v>
          </cell>
          <cell r="J39">
            <v>173</v>
          </cell>
          <cell r="K39">
            <v>65</v>
          </cell>
          <cell r="L39">
            <v>100</v>
          </cell>
        </row>
        <row r="40">
          <cell r="A40">
            <v>165</v>
          </cell>
          <cell r="B40" t="str">
            <v>조준성</v>
          </cell>
          <cell r="C40" t="str">
            <v>연세대</v>
          </cell>
          <cell r="D40" t="str">
            <v>건축공</v>
          </cell>
          <cell r="H40" t="str">
            <v>02-685-1381</v>
          </cell>
          <cell r="I40" t="str">
            <v>011-356-1381</v>
          </cell>
          <cell r="J40">
            <v>180</v>
          </cell>
          <cell r="K40">
            <v>65</v>
          </cell>
          <cell r="L40">
            <v>105</v>
          </cell>
        </row>
        <row r="41">
          <cell r="A41">
            <v>18</v>
          </cell>
          <cell r="B41" t="str">
            <v>김세창</v>
          </cell>
          <cell r="C41" t="str">
            <v>한양대</v>
          </cell>
          <cell r="D41" t="str">
            <v>건축공</v>
          </cell>
          <cell r="H41" t="str">
            <v>02-941-7690</v>
          </cell>
          <cell r="I41" t="str">
            <v>016-730-7690</v>
          </cell>
          <cell r="J41">
            <v>168</v>
          </cell>
          <cell r="K41">
            <v>60</v>
          </cell>
          <cell r="L41">
            <v>95</v>
          </cell>
        </row>
        <row r="42">
          <cell r="A42">
            <v>53</v>
          </cell>
          <cell r="B42" t="str">
            <v>박영서</v>
          </cell>
          <cell r="C42" t="str">
            <v>한양대</v>
          </cell>
          <cell r="D42" t="str">
            <v>건축공</v>
          </cell>
          <cell r="H42" t="str">
            <v>032-463-1271</v>
          </cell>
          <cell r="I42" t="str">
            <v>019-361-9294</v>
          </cell>
          <cell r="J42">
            <v>178</v>
          </cell>
          <cell r="K42">
            <v>69</v>
          </cell>
          <cell r="L42">
            <v>105</v>
          </cell>
        </row>
        <row r="43">
          <cell r="A43">
            <v>156</v>
          </cell>
          <cell r="B43" t="str">
            <v>정철인</v>
          </cell>
          <cell r="C43" t="str">
            <v>한양대</v>
          </cell>
          <cell r="D43" t="str">
            <v>건축공</v>
          </cell>
          <cell r="H43" t="str">
            <v>02-2275-1066</v>
          </cell>
          <cell r="I43" t="str">
            <v>011-9003-1066</v>
          </cell>
          <cell r="J43">
            <v>178</v>
          </cell>
          <cell r="K43">
            <v>68</v>
          </cell>
          <cell r="L43">
            <v>105</v>
          </cell>
        </row>
        <row r="44">
          <cell r="A44">
            <v>145</v>
          </cell>
          <cell r="B44" t="str">
            <v>전상원</v>
          </cell>
          <cell r="C44" t="str">
            <v>건국대</v>
          </cell>
          <cell r="D44" t="str">
            <v>경영</v>
          </cell>
          <cell r="H44" t="str">
            <v>0342-714-1026</v>
          </cell>
          <cell r="I44" t="str">
            <v>017-286-2792</v>
          </cell>
          <cell r="J44">
            <v>176</v>
          </cell>
          <cell r="K44">
            <v>74</v>
          </cell>
          <cell r="L44">
            <v>105</v>
          </cell>
        </row>
        <row r="45">
          <cell r="A45">
            <v>16</v>
          </cell>
          <cell r="B45" t="str">
            <v>김성중</v>
          </cell>
          <cell r="C45" t="str">
            <v>고려대</v>
          </cell>
          <cell r="D45" t="str">
            <v>경영</v>
          </cell>
          <cell r="H45" t="str">
            <v>02-763-2150</v>
          </cell>
          <cell r="I45" t="str">
            <v>016-599-2150</v>
          </cell>
          <cell r="J45">
            <v>173</v>
          </cell>
          <cell r="K45">
            <v>68</v>
          </cell>
          <cell r="L45">
            <v>100</v>
          </cell>
        </row>
        <row r="46">
          <cell r="A46">
            <v>140</v>
          </cell>
          <cell r="B46" t="str">
            <v>장경필</v>
          </cell>
          <cell r="C46" t="str">
            <v>고려대</v>
          </cell>
          <cell r="D46" t="str">
            <v>경영</v>
          </cell>
          <cell r="H46" t="str">
            <v>02-2612-3920</v>
          </cell>
          <cell r="I46" t="str">
            <v>019-254-3920</v>
          </cell>
          <cell r="J46">
            <v>178</v>
          </cell>
          <cell r="K46">
            <v>76</v>
          </cell>
          <cell r="L46">
            <v>105</v>
          </cell>
        </row>
        <row r="47">
          <cell r="A47">
            <v>62</v>
          </cell>
          <cell r="B47" t="str">
            <v>배성필</v>
          </cell>
          <cell r="C47" t="str">
            <v>고려대</v>
          </cell>
          <cell r="D47" t="str">
            <v>경영</v>
          </cell>
          <cell r="H47" t="str">
            <v>0334-962-8152</v>
          </cell>
          <cell r="I47" t="str">
            <v>019-296-8152</v>
          </cell>
          <cell r="J47">
            <v>186</v>
          </cell>
          <cell r="K47">
            <v>66</v>
          </cell>
          <cell r="L47">
            <v>110</v>
          </cell>
        </row>
        <row r="48">
          <cell r="A48">
            <v>129</v>
          </cell>
          <cell r="B48" t="str">
            <v>이정훈</v>
          </cell>
          <cell r="C48" t="str">
            <v>부산대</v>
          </cell>
          <cell r="D48" t="str">
            <v>경영</v>
          </cell>
          <cell r="E48" t="str">
            <v>부산대</v>
          </cell>
          <cell r="F48" t="str">
            <v>경영</v>
          </cell>
          <cell r="H48" t="str">
            <v>051-754-2281</v>
          </cell>
          <cell r="I48" t="str">
            <v>016-852-2281</v>
          </cell>
          <cell r="J48">
            <v>175</v>
          </cell>
          <cell r="K48">
            <v>60</v>
          </cell>
          <cell r="L48">
            <v>100</v>
          </cell>
        </row>
        <row r="49">
          <cell r="A49">
            <v>5</v>
          </cell>
          <cell r="B49" t="str">
            <v>강성철</v>
          </cell>
          <cell r="C49" t="str">
            <v>서울대</v>
          </cell>
          <cell r="D49" t="str">
            <v>경영</v>
          </cell>
          <cell r="H49" t="str">
            <v>032-435-5986</v>
          </cell>
          <cell r="J49">
            <v>170</v>
          </cell>
          <cell r="K49">
            <v>74</v>
          </cell>
          <cell r="L49">
            <v>100</v>
          </cell>
        </row>
        <row r="50">
          <cell r="A50">
            <v>86</v>
          </cell>
          <cell r="B50" t="str">
            <v>양정모</v>
          </cell>
          <cell r="C50" t="str">
            <v>연세대</v>
          </cell>
          <cell r="D50" t="str">
            <v>경영</v>
          </cell>
          <cell r="H50" t="str">
            <v>0342-748-0799</v>
          </cell>
          <cell r="I50" t="str">
            <v>019-317-0799</v>
          </cell>
          <cell r="J50">
            <v>170</v>
          </cell>
          <cell r="K50">
            <v>62</v>
          </cell>
          <cell r="L50">
            <v>95</v>
          </cell>
        </row>
        <row r="51">
          <cell r="A51">
            <v>22</v>
          </cell>
          <cell r="B51" t="str">
            <v>김연수</v>
          </cell>
          <cell r="C51" t="str">
            <v>연세대</v>
          </cell>
          <cell r="D51" t="str">
            <v>경영</v>
          </cell>
          <cell r="E51" t="str">
            <v>연세대</v>
          </cell>
          <cell r="F51" t="str">
            <v>경영</v>
          </cell>
          <cell r="H51" t="str">
            <v>0342-716-4796</v>
          </cell>
          <cell r="I51" t="str">
            <v>011-247-4796</v>
          </cell>
          <cell r="J51">
            <v>173</v>
          </cell>
          <cell r="K51">
            <v>76</v>
          </cell>
          <cell r="L51">
            <v>100</v>
          </cell>
        </row>
        <row r="52">
          <cell r="A52">
            <v>33</v>
          </cell>
          <cell r="B52" t="str">
            <v>김진욱</v>
          </cell>
          <cell r="C52" t="str">
            <v>연세대</v>
          </cell>
          <cell r="D52" t="str">
            <v>경영</v>
          </cell>
          <cell r="E52" t="str">
            <v>연세대</v>
          </cell>
          <cell r="F52" t="str">
            <v>경영</v>
          </cell>
          <cell r="H52" t="str">
            <v>514-7471</v>
          </cell>
          <cell r="I52" t="str">
            <v>011-738-2280</v>
          </cell>
          <cell r="J52">
            <v>174</v>
          </cell>
          <cell r="K52">
            <v>61</v>
          </cell>
          <cell r="L52">
            <v>100</v>
          </cell>
        </row>
        <row r="53">
          <cell r="A53">
            <v>45</v>
          </cell>
          <cell r="B53" t="str">
            <v>박건욱</v>
          </cell>
          <cell r="C53" t="str">
            <v>연세대</v>
          </cell>
          <cell r="D53" t="str">
            <v>경영</v>
          </cell>
          <cell r="H53" t="str">
            <v>02-3141-4284</v>
          </cell>
          <cell r="I53" t="str">
            <v>016-334-4284</v>
          </cell>
          <cell r="J53">
            <v>174</v>
          </cell>
          <cell r="K53">
            <v>77</v>
          </cell>
          <cell r="L53">
            <v>100</v>
          </cell>
        </row>
        <row r="54">
          <cell r="A54">
            <v>60</v>
          </cell>
          <cell r="B54" t="str">
            <v>박창현</v>
          </cell>
          <cell r="C54" t="str">
            <v>연세대</v>
          </cell>
          <cell r="D54" t="str">
            <v>경영</v>
          </cell>
          <cell r="H54" t="str">
            <v>02-359-3992</v>
          </cell>
          <cell r="I54" t="str">
            <v>016-711-6994</v>
          </cell>
          <cell r="J54">
            <v>173</v>
          </cell>
          <cell r="K54">
            <v>68</v>
          </cell>
          <cell r="L54">
            <v>100</v>
          </cell>
        </row>
        <row r="55">
          <cell r="A55">
            <v>107</v>
          </cell>
          <cell r="B55" t="str">
            <v>윤종문</v>
          </cell>
          <cell r="C55" t="str">
            <v>연세대</v>
          </cell>
          <cell r="D55" t="str">
            <v>경영</v>
          </cell>
          <cell r="E55" t="str">
            <v>연세대</v>
          </cell>
          <cell r="H55" t="str">
            <v>0343-382-1677</v>
          </cell>
          <cell r="I55" t="str">
            <v>011-259-1677</v>
          </cell>
          <cell r="J55">
            <v>173</v>
          </cell>
          <cell r="K55">
            <v>88</v>
          </cell>
          <cell r="L55">
            <v>100</v>
          </cell>
        </row>
        <row r="56">
          <cell r="A56">
            <v>187</v>
          </cell>
          <cell r="B56" t="str">
            <v>홍관석</v>
          </cell>
          <cell r="C56" t="str">
            <v>연세대</v>
          </cell>
          <cell r="D56" t="str">
            <v>경영</v>
          </cell>
          <cell r="H56" t="str">
            <v>02-537-2871</v>
          </cell>
          <cell r="I56" t="str">
            <v>019-350-2871</v>
          </cell>
          <cell r="J56">
            <v>173</v>
          </cell>
          <cell r="K56">
            <v>70</v>
          </cell>
          <cell r="L56">
            <v>100</v>
          </cell>
        </row>
        <row r="57">
          <cell r="A57">
            <v>112</v>
          </cell>
          <cell r="B57" t="str">
            <v>이광호</v>
          </cell>
          <cell r="C57" t="str">
            <v>연세대</v>
          </cell>
          <cell r="D57" t="str">
            <v>경영</v>
          </cell>
          <cell r="E57" t="str">
            <v>연세대</v>
          </cell>
          <cell r="F57" t="str">
            <v>경영</v>
          </cell>
          <cell r="H57" t="str">
            <v>0343-452-4271</v>
          </cell>
          <cell r="I57" t="str">
            <v>017-744-1312</v>
          </cell>
          <cell r="J57">
            <v>177</v>
          </cell>
          <cell r="K57">
            <v>72</v>
          </cell>
          <cell r="L57">
            <v>105</v>
          </cell>
        </row>
        <row r="58">
          <cell r="A58">
            <v>178</v>
          </cell>
          <cell r="B58" t="str">
            <v>최윤창</v>
          </cell>
          <cell r="C58" t="str">
            <v>연세대</v>
          </cell>
          <cell r="D58" t="str">
            <v>경영</v>
          </cell>
          <cell r="I58" t="str">
            <v>011-9610-3721</v>
          </cell>
          <cell r="J58">
            <v>178</v>
          </cell>
          <cell r="K58">
            <v>67</v>
          </cell>
          <cell r="L58">
            <v>105</v>
          </cell>
        </row>
        <row r="59">
          <cell r="A59">
            <v>2</v>
          </cell>
          <cell r="B59" t="str">
            <v>김재훈</v>
          </cell>
          <cell r="C59" t="str">
            <v>연세대</v>
          </cell>
          <cell r="D59" t="str">
            <v>경영</v>
          </cell>
          <cell r="H59" t="str">
            <v>0371-764-0415</v>
          </cell>
          <cell r="I59" t="str">
            <v>011-229-8005</v>
          </cell>
          <cell r="J59">
            <v>180</v>
          </cell>
          <cell r="K59">
            <v>78</v>
          </cell>
          <cell r="L59">
            <v>105</v>
          </cell>
          <cell r="M59" t="str">
            <v>추가자</v>
          </cell>
        </row>
        <row r="60">
          <cell r="A60">
            <v>84</v>
          </cell>
          <cell r="B60" t="str">
            <v>양대규</v>
          </cell>
          <cell r="C60" t="str">
            <v>연세대</v>
          </cell>
          <cell r="D60" t="str">
            <v>경영</v>
          </cell>
          <cell r="H60" t="str">
            <v>051-893-3457</v>
          </cell>
          <cell r="I60" t="str">
            <v>011-248-1794</v>
          </cell>
          <cell r="J60">
            <v>186</v>
          </cell>
          <cell r="K60">
            <v>85</v>
          </cell>
          <cell r="L60">
            <v>110</v>
          </cell>
        </row>
        <row r="61">
          <cell r="A61">
            <v>87</v>
          </cell>
          <cell r="B61" t="str">
            <v>양흥규</v>
          </cell>
          <cell r="C61" t="str">
            <v>연세대</v>
          </cell>
          <cell r="D61" t="str">
            <v>경영</v>
          </cell>
          <cell r="H61" t="str">
            <v>0371-766-4524</v>
          </cell>
          <cell r="I61" t="str">
            <v>017-503-5845</v>
          </cell>
          <cell r="J61">
            <v>183</v>
          </cell>
          <cell r="K61">
            <v>88</v>
          </cell>
          <cell r="L61">
            <v>110</v>
          </cell>
        </row>
        <row r="62">
          <cell r="A62">
            <v>6</v>
          </cell>
          <cell r="B62" t="str">
            <v>정성진</v>
          </cell>
          <cell r="C62" t="str">
            <v>고려대</v>
          </cell>
          <cell r="D62" t="str">
            <v>경영</v>
          </cell>
          <cell r="I62" t="str">
            <v>011-326-2624</v>
          </cell>
          <cell r="J62">
            <v>170</v>
          </cell>
          <cell r="K62">
            <v>74</v>
          </cell>
          <cell r="L62">
            <v>95</v>
          </cell>
          <cell r="M62" t="str">
            <v>추가자</v>
          </cell>
        </row>
        <row r="63">
          <cell r="A63">
            <v>58</v>
          </cell>
          <cell r="B63" t="str">
            <v>박재혁</v>
          </cell>
          <cell r="C63" t="str">
            <v>고려대(분교)</v>
          </cell>
          <cell r="D63" t="str">
            <v>경영</v>
          </cell>
          <cell r="H63" t="str">
            <v>051-701-9190</v>
          </cell>
          <cell r="I63" t="str">
            <v>016-561-9091</v>
          </cell>
          <cell r="J63">
            <v>181</v>
          </cell>
          <cell r="K63">
            <v>70</v>
          </cell>
          <cell r="L63">
            <v>110</v>
          </cell>
        </row>
        <row r="64">
          <cell r="A64">
            <v>91</v>
          </cell>
          <cell r="B64" t="str">
            <v>오영우</v>
          </cell>
          <cell r="C64" t="str">
            <v>경희대</v>
          </cell>
          <cell r="D64" t="str">
            <v>경제</v>
          </cell>
          <cell r="H64" t="str">
            <v>0331-241-6962</v>
          </cell>
          <cell r="I64" t="str">
            <v>017-342-6962</v>
          </cell>
          <cell r="J64">
            <v>176</v>
          </cell>
          <cell r="K64">
            <v>69</v>
          </cell>
          <cell r="L64">
            <v>105</v>
          </cell>
        </row>
        <row r="65">
          <cell r="A65">
            <v>16</v>
          </cell>
          <cell r="B65" t="str">
            <v>염동성</v>
          </cell>
          <cell r="C65" t="str">
            <v>경희대</v>
          </cell>
          <cell r="D65" t="str">
            <v>경제</v>
          </cell>
          <cell r="H65" t="str">
            <v>02-584-7997</v>
          </cell>
          <cell r="I65" t="str">
            <v>019-211-5499</v>
          </cell>
          <cell r="M65" t="str">
            <v>추가될 가능</v>
          </cell>
        </row>
        <row r="66">
          <cell r="A66">
            <v>47</v>
          </cell>
          <cell r="B66" t="str">
            <v>박광수</v>
          </cell>
          <cell r="C66" t="str">
            <v>성균관대</v>
          </cell>
          <cell r="D66" t="str">
            <v>경제</v>
          </cell>
          <cell r="H66" t="str">
            <v>02-2637-6600</v>
          </cell>
          <cell r="I66" t="str">
            <v>017-420-2298</v>
          </cell>
          <cell r="J66">
            <v>172</v>
          </cell>
          <cell r="K66">
            <v>62</v>
          </cell>
          <cell r="L66">
            <v>100</v>
          </cell>
        </row>
        <row r="67">
          <cell r="A67">
            <v>20</v>
          </cell>
          <cell r="B67" t="str">
            <v>김승욱</v>
          </cell>
          <cell r="C67" t="str">
            <v>연세대</v>
          </cell>
          <cell r="D67" t="str">
            <v>경제</v>
          </cell>
          <cell r="H67" t="str">
            <v>02-778-2460</v>
          </cell>
          <cell r="I67" t="str">
            <v>017-287-2460</v>
          </cell>
          <cell r="J67">
            <v>175</v>
          </cell>
          <cell r="K67">
            <v>56</v>
          </cell>
          <cell r="L67">
            <v>100</v>
          </cell>
        </row>
        <row r="68">
          <cell r="A68">
            <v>57</v>
          </cell>
          <cell r="B68" t="str">
            <v>박재병</v>
          </cell>
          <cell r="C68" t="str">
            <v>연세대</v>
          </cell>
          <cell r="D68" t="str">
            <v>경제</v>
          </cell>
          <cell r="H68" t="str">
            <v>02-3481-1378</v>
          </cell>
          <cell r="I68" t="str">
            <v>011-9754-3470</v>
          </cell>
          <cell r="J68">
            <v>182</v>
          </cell>
          <cell r="K68">
            <v>65</v>
          </cell>
          <cell r="L68">
            <v>110</v>
          </cell>
        </row>
        <row r="69">
          <cell r="A69">
            <v>136</v>
          </cell>
          <cell r="B69" t="str">
            <v>이형주</v>
          </cell>
          <cell r="C69" t="str">
            <v>인하대</v>
          </cell>
          <cell r="D69" t="str">
            <v>고분자</v>
          </cell>
          <cell r="E69" t="str">
            <v>인하대</v>
          </cell>
          <cell r="F69" t="str">
            <v>고분자</v>
          </cell>
          <cell r="H69" t="str">
            <v>032-860-7484</v>
          </cell>
          <cell r="I69" t="str">
            <v>017-207-6013</v>
          </cell>
          <cell r="J69">
            <v>168</v>
          </cell>
          <cell r="K69">
            <v>68</v>
          </cell>
          <cell r="L69">
            <v>95</v>
          </cell>
        </row>
        <row r="70">
          <cell r="A70">
            <v>119</v>
          </cell>
          <cell r="B70" t="str">
            <v>이송길</v>
          </cell>
          <cell r="C70" t="str">
            <v>한양대</v>
          </cell>
          <cell r="D70" t="str">
            <v>공업화학</v>
          </cell>
          <cell r="E70" t="str">
            <v>서울대</v>
          </cell>
          <cell r="F70" t="str">
            <v>화학</v>
          </cell>
          <cell r="H70" t="str">
            <v>02-2607-7918</v>
          </cell>
          <cell r="I70" t="str">
            <v>-</v>
          </cell>
          <cell r="J70">
            <v>166</v>
          </cell>
          <cell r="K70">
            <v>58</v>
          </cell>
          <cell r="L70">
            <v>95</v>
          </cell>
        </row>
        <row r="71">
          <cell r="A71">
            <v>130</v>
          </cell>
          <cell r="B71" t="str">
            <v>이준석</v>
          </cell>
          <cell r="C71" t="str">
            <v>한양대</v>
          </cell>
          <cell r="D71" t="str">
            <v>공업화학</v>
          </cell>
          <cell r="E71" t="str">
            <v>한양대</v>
          </cell>
          <cell r="F71" t="str">
            <v>공업화학</v>
          </cell>
          <cell r="H71" t="str">
            <v>02-2290-0526</v>
          </cell>
          <cell r="I71" t="str">
            <v>016-284-6903</v>
          </cell>
          <cell r="J71">
            <v>176</v>
          </cell>
          <cell r="K71">
            <v>76</v>
          </cell>
          <cell r="L71">
            <v>105</v>
          </cell>
        </row>
        <row r="72">
          <cell r="A72">
            <v>152</v>
          </cell>
          <cell r="B72" t="str">
            <v>정석균</v>
          </cell>
          <cell r="C72" t="str">
            <v>한양대</v>
          </cell>
          <cell r="D72" t="str">
            <v>공업화학</v>
          </cell>
          <cell r="E72" t="str">
            <v>한양대</v>
          </cell>
          <cell r="F72" t="str">
            <v>공업화학</v>
          </cell>
          <cell r="H72" t="str">
            <v>0344-973-6326</v>
          </cell>
          <cell r="I72" t="str">
            <v>016-371-5503</v>
          </cell>
          <cell r="J72">
            <v>178</v>
          </cell>
          <cell r="K72">
            <v>80</v>
          </cell>
          <cell r="L72">
            <v>105</v>
          </cell>
        </row>
        <row r="73">
          <cell r="A73">
            <v>123</v>
          </cell>
          <cell r="B73" t="str">
            <v>이용환</v>
          </cell>
          <cell r="C73" t="str">
            <v>서울대</v>
          </cell>
          <cell r="D73" t="str">
            <v>국사</v>
          </cell>
          <cell r="H73" t="str">
            <v>02-872-8749</v>
          </cell>
          <cell r="I73" t="str">
            <v>011-9009-0506</v>
          </cell>
          <cell r="J73">
            <v>172</v>
          </cell>
          <cell r="K73">
            <v>75</v>
          </cell>
          <cell r="L73">
            <v>105</v>
          </cell>
        </row>
        <row r="74">
          <cell r="A74">
            <v>4</v>
          </cell>
          <cell r="B74" t="str">
            <v>이병득</v>
          </cell>
          <cell r="C74" t="str">
            <v>서울대</v>
          </cell>
          <cell r="D74" t="str">
            <v>국사</v>
          </cell>
          <cell r="H74" t="str">
            <v>(02)2602-8732</v>
          </cell>
          <cell r="I74" t="str">
            <v>015-7707-8732</v>
          </cell>
          <cell r="J74">
            <v>185</v>
          </cell>
          <cell r="K74">
            <v>97</v>
          </cell>
          <cell r="L74">
            <v>110</v>
          </cell>
          <cell r="M74" t="str">
            <v>추가자</v>
          </cell>
        </row>
        <row r="75">
          <cell r="A75">
            <v>101</v>
          </cell>
          <cell r="B75" t="str">
            <v>유종순</v>
          </cell>
          <cell r="C75" t="str">
            <v>고려대</v>
          </cell>
          <cell r="D75" t="str">
            <v>국어교육</v>
          </cell>
          <cell r="H75" t="str">
            <v>0351-875-8201</v>
          </cell>
          <cell r="I75" t="str">
            <v>019-389-2532</v>
          </cell>
          <cell r="J75">
            <v>170</v>
          </cell>
          <cell r="K75">
            <v>62</v>
          </cell>
          <cell r="L75">
            <v>95</v>
          </cell>
        </row>
        <row r="76">
          <cell r="A76">
            <v>111</v>
          </cell>
          <cell r="B76" t="str">
            <v>이관훈</v>
          </cell>
          <cell r="C76" t="str">
            <v>고려대</v>
          </cell>
          <cell r="D76" t="str">
            <v>금속공</v>
          </cell>
          <cell r="H76" t="str">
            <v>0343-394-0708</v>
          </cell>
          <cell r="I76" t="str">
            <v>017-280-6433</v>
          </cell>
          <cell r="J76">
            <v>180</v>
          </cell>
          <cell r="K76">
            <v>90</v>
          </cell>
          <cell r="L76">
            <v>105</v>
          </cell>
        </row>
        <row r="77">
          <cell r="A77">
            <v>133</v>
          </cell>
          <cell r="B77" t="str">
            <v>이충열</v>
          </cell>
          <cell r="C77" t="str">
            <v>성균관대</v>
          </cell>
          <cell r="D77" t="str">
            <v>금속공</v>
          </cell>
          <cell r="E77" t="str">
            <v>포항공대</v>
          </cell>
          <cell r="F77" t="str">
            <v>재료금속공학</v>
          </cell>
          <cell r="H77" t="str">
            <v>0562-279-2810</v>
          </cell>
          <cell r="I77" t="str">
            <v>017-577-2060</v>
          </cell>
          <cell r="J77">
            <v>179</v>
          </cell>
          <cell r="K77">
            <v>70</v>
          </cell>
          <cell r="L77">
            <v>105</v>
          </cell>
        </row>
        <row r="78">
          <cell r="A78">
            <v>118</v>
          </cell>
          <cell r="B78" t="str">
            <v>이성민</v>
          </cell>
          <cell r="C78" t="str">
            <v>연세대</v>
          </cell>
          <cell r="D78" t="str">
            <v>금속공</v>
          </cell>
          <cell r="H78" t="str">
            <v>02-882-4108</v>
          </cell>
          <cell r="I78" t="str">
            <v>011-440-4108</v>
          </cell>
          <cell r="J78">
            <v>173</v>
          </cell>
          <cell r="K78">
            <v>56</v>
          </cell>
          <cell r="L78">
            <v>100</v>
          </cell>
        </row>
        <row r="79">
          <cell r="A79">
            <v>94</v>
          </cell>
          <cell r="B79" t="str">
            <v>오창혁</v>
          </cell>
          <cell r="C79" t="str">
            <v>한양대</v>
          </cell>
          <cell r="D79" t="str">
            <v>금속재료</v>
          </cell>
          <cell r="E79" t="str">
            <v>포항공대</v>
          </cell>
          <cell r="F79" t="str">
            <v>금속공학</v>
          </cell>
          <cell r="H79" t="str">
            <v>0561-749-3508</v>
          </cell>
          <cell r="I79" t="str">
            <v>017-803-3508</v>
          </cell>
          <cell r="J79">
            <v>177</v>
          </cell>
          <cell r="K79">
            <v>76</v>
          </cell>
          <cell r="L79">
            <v>105</v>
          </cell>
        </row>
        <row r="80">
          <cell r="A80">
            <v>21</v>
          </cell>
          <cell r="B80" t="str">
            <v>김양근</v>
          </cell>
          <cell r="C80" t="str">
            <v>고려대</v>
          </cell>
          <cell r="D80" t="str">
            <v>기계</v>
          </cell>
          <cell r="H80" t="str">
            <v>02-313-5918</v>
          </cell>
          <cell r="I80" t="str">
            <v>017-747-5918</v>
          </cell>
          <cell r="J80">
            <v>174</v>
          </cell>
          <cell r="K80">
            <v>60</v>
          </cell>
          <cell r="L80">
            <v>100</v>
          </cell>
        </row>
        <row r="81">
          <cell r="A81">
            <v>70</v>
          </cell>
          <cell r="B81" t="str">
            <v>서은국</v>
          </cell>
          <cell r="C81" t="str">
            <v>금오공대</v>
          </cell>
          <cell r="D81" t="str">
            <v>기계</v>
          </cell>
          <cell r="H81" t="str">
            <v>(0546)461-2596</v>
          </cell>
          <cell r="I81" t="str">
            <v>019-501-2596</v>
          </cell>
          <cell r="J81">
            <v>168</v>
          </cell>
          <cell r="K81">
            <v>65</v>
          </cell>
          <cell r="L81">
            <v>95</v>
          </cell>
        </row>
        <row r="82">
          <cell r="A82">
            <v>35</v>
          </cell>
          <cell r="B82" t="str">
            <v>김현경</v>
          </cell>
          <cell r="C82" t="str">
            <v>단국대</v>
          </cell>
          <cell r="D82" t="str">
            <v>기계</v>
          </cell>
          <cell r="E82" t="str">
            <v>중앙대</v>
          </cell>
          <cell r="F82" t="str">
            <v>기계</v>
          </cell>
          <cell r="H82" t="str">
            <v>02-521-2103</v>
          </cell>
          <cell r="I82" t="str">
            <v>017-657-2103</v>
          </cell>
          <cell r="J82">
            <v>171</v>
          </cell>
          <cell r="K82">
            <v>62</v>
          </cell>
          <cell r="L82">
            <v>100</v>
          </cell>
        </row>
        <row r="83">
          <cell r="A83">
            <v>151</v>
          </cell>
          <cell r="B83" t="str">
            <v>정상훈</v>
          </cell>
          <cell r="C83" t="str">
            <v>부산대</v>
          </cell>
          <cell r="D83" t="str">
            <v>기계</v>
          </cell>
          <cell r="H83" t="str">
            <v>051-623-6520</v>
          </cell>
          <cell r="I83" t="str">
            <v>018-214-6520</v>
          </cell>
          <cell r="J83">
            <v>174</v>
          </cell>
          <cell r="K83">
            <v>72</v>
          </cell>
          <cell r="L83">
            <v>100</v>
          </cell>
        </row>
        <row r="84">
          <cell r="A84">
            <v>124</v>
          </cell>
          <cell r="B84" t="str">
            <v>이원용</v>
          </cell>
          <cell r="C84" t="str">
            <v>부산대</v>
          </cell>
          <cell r="D84" t="str">
            <v>기계</v>
          </cell>
          <cell r="H84" t="str">
            <v>051-524-8744</v>
          </cell>
          <cell r="I84" t="str">
            <v>011-869-8744</v>
          </cell>
          <cell r="J84">
            <v>175</v>
          </cell>
          <cell r="K84">
            <v>82</v>
          </cell>
          <cell r="L84">
            <v>105</v>
          </cell>
        </row>
        <row r="85">
          <cell r="A85">
            <v>166</v>
          </cell>
          <cell r="B85" t="str">
            <v>조현우</v>
          </cell>
          <cell r="C85" t="str">
            <v>서강대</v>
          </cell>
          <cell r="D85" t="str">
            <v>기계</v>
          </cell>
          <cell r="H85" t="str">
            <v>02-557-5539</v>
          </cell>
          <cell r="I85" t="str">
            <v>016-706-5036</v>
          </cell>
          <cell r="J85">
            <v>175</v>
          </cell>
          <cell r="K85">
            <v>60</v>
          </cell>
          <cell r="L85">
            <v>100</v>
          </cell>
        </row>
        <row r="86">
          <cell r="A86">
            <v>150</v>
          </cell>
          <cell r="B86" t="str">
            <v>정병모</v>
          </cell>
          <cell r="C86" t="str">
            <v>성균관대</v>
          </cell>
          <cell r="D86" t="str">
            <v>기계</v>
          </cell>
          <cell r="H86" t="str">
            <v>02-833-0843</v>
          </cell>
          <cell r="I86" t="str">
            <v>017-218-0843</v>
          </cell>
          <cell r="J86">
            <v>178</v>
          </cell>
          <cell r="K86">
            <v>83</v>
          </cell>
          <cell r="L86">
            <v>105</v>
          </cell>
        </row>
        <row r="87">
          <cell r="A87">
            <v>159</v>
          </cell>
          <cell r="B87" t="str">
            <v>조낙근</v>
          </cell>
          <cell r="C87" t="str">
            <v>연세대</v>
          </cell>
          <cell r="D87" t="str">
            <v>기계</v>
          </cell>
          <cell r="H87" t="str">
            <v>032-471-1622</v>
          </cell>
          <cell r="I87" t="str">
            <v>012-1156-1622</v>
          </cell>
          <cell r="J87">
            <v>163</v>
          </cell>
          <cell r="K87">
            <v>57</v>
          </cell>
          <cell r="L87">
            <v>90</v>
          </cell>
        </row>
        <row r="88">
          <cell r="A88">
            <v>134</v>
          </cell>
          <cell r="B88" t="str">
            <v>이현주</v>
          </cell>
          <cell r="C88" t="str">
            <v>연세대</v>
          </cell>
          <cell r="D88" t="str">
            <v>기계</v>
          </cell>
          <cell r="E88" t="str">
            <v>연세대</v>
          </cell>
          <cell r="F88" t="str">
            <v>기계</v>
          </cell>
          <cell r="H88" t="str">
            <v>02-361-4811</v>
          </cell>
          <cell r="I88" t="str">
            <v>012-1839-1821</v>
          </cell>
          <cell r="J88">
            <v>170</v>
          </cell>
          <cell r="K88">
            <v>61</v>
          </cell>
          <cell r="L88">
            <v>95</v>
          </cell>
        </row>
        <row r="89">
          <cell r="A89">
            <v>162</v>
          </cell>
          <cell r="B89" t="str">
            <v>조아라</v>
          </cell>
          <cell r="C89" t="str">
            <v>연세대</v>
          </cell>
          <cell r="D89" t="str">
            <v>기계</v>
          </cell>
          <cell r="H89" t="str">
            <v>02-3463-4960</v>
          </cell>
          <cell r="I89" t="str">
            <v>017-693-7029</v>
          </cell>
          <cell r="J89">
            <v>175</v>
          </cell>
          <cell r="K89">
            <v>77</v>
          </cell>
          <cell r="L89">
            <v>100</v>
          </cell>
        </row>
        <row r="90">
          <cell r="A90">
            <v>182</v>
          </cell>
          <cell r="B90" t="str">
            <v>한동우</v>
          </cell>
          <cell r="C90" t="str">
            <v>영남대</v>
          </cell>
          <cell r="D90" t="str">
            <v>기계</v>
          </cell>
          <cell r="H90" t="str">
            <v>053-781-3741</v>
          </cell>
          <cell r="I90" t="str">
            <v>011-9595-3226</v>
          </cell>
          <cell r="J90">
            <v>173</v>
          </cell>
          <cell r="K90">
            <v>65</v>
          </cell>
          <cell r="L90">
            <v>100</v>
          </cell>
        </row>
        <row r="91">
          <cell r="A91">
            <v>96</v>
          </cell>
          <cell r="B91" t="str">
            <v>왕대성</v>
          </cell>
          <cell r="C91" t="str">
            <v>인하대</v>
          </cell>
          <cell r="D91" t="str">
            <v>기계</v>
          </cell>
          <cell r="H91" t="str">
            <v>032-612-1777</v>
          </cell>
          <cell r="I91" t="str">
            <v>015-8324-2438</v>
          </cell>
          <cell r="J91">
            <v>178</v>
          </cell>
          <cell r="K91">
            <v>62</v>
          </cell>
          <cell r="L91">
            <v>105</v>
          </cell>
        </row>
        <row r="92">
          <cell r="A92">
            <v>46</v>
          </cell>
          <cell r="B92" t="str">
            <v>박경수</v>
          </cell>
          <cell r="C92" t="str">
            <v>한양대</v>
          </cell>
          <cell r="D92" t="str">
            <v>기계</v>
          </cell>
          <cell r="H92" t="str">
            <v>02-435-7326</v>
          </cell>
          <cell r="I92" t="str">
            <v>016-299-7326</v>
          </cell>
          <cell r="J92">
            <v>170</v>
          </cell>
          <cell r="K92">
            <v>60</v>
          </cell>
          <cell r="L92">
            <v>95</v>
          </cell>
        </row>
        <row r="93">
          <cell r="A93">
            <v>80</v>
          </cell>
          <cell r="B93" t="str">
            <v>심태웅</v>
          </cell>
          <cell r="C93" t="str">
            <v>한양대</v>
          </cell>
          <cell r="D93" t="str">
            <v>기계</v>
          </cell>
          <cell r="E93" t="str">
            <v>한양대</v>
          </cell>
          <cell r="F93" t="str">
            <v>정밀기계공학</v>
          </cell>
          <cell r="H93" t="str">
            <v>02-857-0035</v>
          </cell>
          <cell r="I93" t="str">
            <v>011-9702-9746</v>
          </cell>
          <cell r="J93">
            <v>165</v>
          </cell>
          <cell r="K93">
            <v>67</v>
          </cell>
          <cell r="L93">
            <v>95</v>
          </cell>
        </row>
        <row r="94">
          <cell r="A94">
            <v>98</v>
          </cell>
          <cell r="B94" t="str">
            <v>우길제</v>
          </cell>
          <cell r="C94" t="str">
            <v>한양대</v>
          </cell>
          <cell r="D94" t="str">
            <v>기계</v>
          </cell>
          <cell r="H94" t="str">
            <v>0416-881-5005</v>
          </cell>
          <cell r="I94" t="str">
            <v>012-443-0124</v>
          </cell>
          <cell r="J94">
            <v>175</v>
          </cell>
          <cell r="K94">
            <v>65</v>
          </cell>
          <cell r="L94">
            <v>100</v>
          </cell>
        </row>
        <row r="95">
          <cell r="A95">
            <v>127</v>
          </cell>
          <cell r="B95" t="str">
            <v>이정규</v>
          </cell>
          <cell r="C95" t="str">
            <v>한양대</v>
          </cell>
          <cell r="D95" t="str">
            <v>기계</v>
          </cell>
          <cell r="H95" t="str">
            <v>02-579-8653</v>
          </cell>
          <cell r="I95" t="str">
            <v>011-203-2365</v>
          </cell>
          <cell r="J95">
            <v>177</v>
          </cell>
          <cell r="K95">
            <v>63</v>
          </cell>
          <cell r="L95">
            <v>100</v>
          </cell>
        </row>
        <row r="96">
          <cell r="A96">
            <v>186</v>
          </cell>
          <cell r="B96" t="str">
            <v>홍건식</v>
          </cell>
          <cell r="C96" t="str">
            <v>한양대</v>
          </cell>
          <cell r="D96" t="str">
            <v>기계</v>
          </cell>
          <cell r="H96" t="str">
            <v>0341-988-7027</v>
          </cell>
          <cell r="I96" t="str">
            <v>019-384-9027</v>
          </cell>
          <cell r="J96">
            <v>176</v>
          </cell>
          <cell r="K96">
            <v>55</v>
          </cell>
          <cell r="L96">
            <v>105</v>
          </cell>
        </row>
        <row r="97">
          <cell r="A97">
            <v>158</v>
          </cell>
          <cell r="B97" t="str">
            <v>조근호</v>
          </cell>
          <cell r="C97" t="str">
            <v>한양대</v>
          </cell>
          <cell r="D97" t="str">
            <v>기계</v>
          </cell>
          <cell r="H97" t="str">
            <v>053-962-4865</v>
          </cell>
          <cell r="I97" t="str">
            <v>016-657-9335</v>
          </cell>
          <cell r="J97">
            <v>185</v>
          </cell>
          <cell r="K97">
            <v>71</v>
          </cell>
          <cell r="L97">
            <v>110</v>
          </cell>
        </row>
        <row r="98">
          <cell r="A98">
            <v>169</v>
          </cell>
          <cell r="B98" t="str">
            <v>지상우</v>
          </cell>
          <cell r="C98" t="str">
            <v>홍익대</v>
          </cell>
          <cell r="D98" t="str">
            <v>기계</v>
          </cell>
          <cell r="H98" t="str">
            <v>0344-968-2500</v>
          </cell>
          <cell r="I98" t="str">
            <v>018-233-1206</v>
          </cell>
          <cell r="J98">
            <v>174</v>
          </cell>
          <cell r="K98">
            <v>64</v>
          </cell>
          <cell r="L98">
            <v>100</v>
          </cell>
        </row>
        <row r="99">
          <cell r="A99">
            <v>197</v>
          </cell>
          <cell r="B99" t="str">
            <v>서종우</v>
          </cell>
          <cell r="C99" t="str">
            <v>KIST</v>
          </cell>
          <cell r="D99" t="str">
            <v>기계</v>
          </cell>
          <cell r="E99" t="str">
            <v>KIST</v>
          </cell>
          <cell r="F99" t="str">
            <v>기계</v>
          </cell>
          <cell r="H99" t="str">
            <v>02-3493-8353</v>
          </cell>
          <cell r="I99" t="str">
            <v>017-270-7561</v>
          </cell>
          <cell r="J99">
            <v>180</v>
          </cell>
          <cell r="K99">
            <v>64</v>
          </cell>
          <cell r="L99">
            <v>105</v>
          </cell>
        </row>
        <row r="100">
          <cell r="A100">
            <v>24</v>
          </cell>
          <cell r="B100" t="str">
            <v>김용철</v>
          </cell>
          <cell r="C100" t="str">
            <v>부산대</v>
          </cell>
          <cell r="D100" t="str">
            <v>기계</v>
          </cell>
          <cell r="E100" t="str">
            <v>부산대</v>
          </cell>
          <cell r="F100" t="str">
            <v>정밀기계공학</v>
          </cell>
          <cell r="H100" t="str">
            <v>051-502-5153</v>
          </cell>
          <cell r="I100" t="str">
            <v>011-830-5157</v>
          </cell>
          <cell r="J100">
            <v>174</v>
          </cell>
          <cell r="K100">
            <v>67</v>
          </cell>
          <cell r="L100">
            <v>100</v>
          </cell>
        </row>
        <row r="101">
          <cell r="A101">
            <v>43</v>
          </cell>
          <cell r="B101" t="str">
            <v>류지훈</v>
          </cell>
          <cell r="C101" t="str">
            <v>중앙대</v>
          </cell>
          <cell r="D101" t="str">
            <v>기계</v>
          </cell>
          <cell r="H101" t="str">
            <v>0342-711-8896</v>
          </cell>
          <cell r="I101" t="str">
            <v>017-391-8896</v>
          </cell>
          <cell r="J101">
            <v>172</v>
          </cell>
          <cell r="K101">
            <v>62</v>
          </cell>
          <cell r="L101">
            <v>100</v>
          </cell>
        </row>
        <row r="102">
          <cell r="A102">
            <v>93</v>
          </cell>
          <cell r="B102" t="str">
            <v>오준혁</v>
          </cell>
          <cell r="C102" t="str">
            <v>한양대</v>
          </cell>
          <cell r="D102" t="str">
            <v>기계</v>
          </cell>
          <cell r="H102" t="str">
            <v>02-2296-1048</v>
          </cell>
          <cell r="I102" t="str">
            <v>011-9599-1048</v>
          </cell>
          <cell r="J102">
            <v>178</v>
          </cell>
          <cell r="K102">
            <v>78</v>
          </cell>
          <cell r="L102">
            <v>105</v>
          </cell>
        </row>
        <row r="103">
          <cell r="A103">
            <v>10</v>
          </cell>
          <cell r="B103" t="str">
            <v>정동준</v>
          </cell>
          <cell r="C103" t="str">
            <v>서울대</v>
          </cell>
          <cell r="D103" t="str">
            <v>기계</v>
          </cell>
          <cell r="E103" t="str">
            <v>과기대학원</v>
          </cell>
          <cell r="F103" t="str">
            <v>기계공학</v>
          </cell>
          <cell r="H103" t="str">
            <v>02-869-3269</v>
          </cell>
          <cell r="I103" t="str">
            <v>015-4414-3269</v>
          </cell>
          <cell r="M103" t="str">
            <v>산학장학생</v>
          </cell>
        </row>
        <row r="104">
          <cell r="A104">
            <v>95</v>
          </cell>
          <cell r="B104" t="str">
            <v>오태성</v>
          </cell>
          <cell r="C104" t="str">
            <v>연세대</v>
          </cell>
          <cell r="D104" t="str">
            <v>기계</v>
          </cell>
          <cell r="H104" t="str">
            <v>0342-701-1666</v>
          </cell>
          <cell r="I104" t="str">
            <v>016-267-4375</v>
          </cell>
          <cell r="J104">
            <v>164</v>
          </cell>
          <cell r="K104">
            <v>65</v>
          </cell>
          <cell r="L104">
            <v>90</v>
          </cell>
        </row>
        <row r="105">
          <cell r="A105">
            <v>5</v>
          </cell>
          <cell r="B105" t="str">
            <v>임용진</v>
          </cell>
          <cell r="C105" t="str">
            <v>국민대</v>
          </cell>
          <cell r="D105" t="str">
            <v>기계</v>
          </cell>
          <cell r="E105" t="str">
            <v>기타대</v>
          </cell>
          <cell r="F105" t="str">
            <v>공학계열기타</v>
          </cell>
          <cell r="H105" t="str">
            <v>02-430-7477</v>
          </cell>
          <cell r="I105" t="str">
            <v>017-427-7477</v>
          </cell>
          <cell r="M105" t="str">
            <v>추가자</v>
          </cell>
        </row>
        <row r="106">
          <cell r="A106">
            <v>15</v>
          </cell>
          <cell r="B106" t="str">
            <v>박정근</v>
          </cell>
          <cell r="C106" t="str">
            <v>서울대</v>
          </cell>
          <cell r="D106" t="str">
            <v>노어(노문)</v>
          </cell>
          <cell r="H106" t="str">
            <v>02-877-5907</v>
          </cell>
          <cell r="I106" t="str">
            <v>015-8333-5901</v>
          </cell>
          <cell r="J106">
            <v>168</v>
          </cell>
          <cell r="K106">
            <v>56</v>
          </cell>
          <cell r="L106">
            <v>95</v>
          </cell>
          <cell r="M106" t="str">
            <v>추가될 가능</v>
          </cell>
        </row>
        <row r="107">
          <cell r="A107">
            <v>125</v>
          </cell>
          <cell r="B107" t="str">
            <v>이일부</v>
          </cell>
          <cell r="C107" t="str">
            <v>서울대</v>
          </cell>
          <cell r="D107" t="str">
            <v>농업경제</v>
          </cell>
          <cell r="E107" t="str">
            <v>서울대</v>
          </cell>
          <cell r="F107" t="str">
            <v>농업경제</v>
          </cell>
          <cell r="H107" t="str">
            <v>0343-396-7477</v>
          </cell>
          <cell r="I107" t="str">
            <v>016-658-4551</v>
          </cell>
          <cell r="J107">
            <v>175</v>
          </cell>
          <cell r="K107">
            <v>65</v>
          </cell>
          <cell r="L107">
            <v>105</v>
          </cell>
        </row>
        <row r="108">
          <cell r="A108">
            <v>195</v>
          </cell>
          <cell r="B108" t="str">
            <v>장성주</v>
          </cell>
          <cell r="C108" t="str">
            <v>서울대</v>
          </cell>
          <cell r="D108" t="str">
            <v>농업기계공</v>
          </cell>
          <cell r="E108" t="str">
            <v>서울대</v>
          </cell>
          <cell r="F108" t="str">
            <v>농업기계공학</v>
          </cell>
          <cell r="H108" t="str">
            <v>0331-290-2394</v>
          </cell>
          <cell r="I108" t="str">
            <v>016-727-1042</v>
          </cell>
          <cell r="J108">
            <v>168</v>
          </cell>
          <cell r="K108">
            <v>55</v>
          </cell>
          <cell r="L108">
            <v>95</v>
          </cell>
        </row>
        <row r="109">
          <cell r="A109">
            <v>141</v>
          </cell>
          <cell r="B109" t="str">
            <v>장성만</v>
          </cell>
          <cell r="C109" t="str">
            <v>서울대</v>
          </cell>
          <cell r="D109" t="str">
            <v>농업기계공</v>
          </cell>
          <cell r="H109" t="str">
            <v>0331-290-0843</v>
          </cell>
          <cell r="I109" t="str">
            <v>011-9748-7809</v>
          </cell>
          <cell r="J109">
            <v>173</v>
          </cell>
          <cell r="K109">
            <v>63</v>
          </cell>
          <cell r="L109">
            <v>100</v>
          </cell>
        </row>
        <row r="110">
          <cell r="A110">
            <v>15</v>
          </cell>
          <cell r="B110" t="str">
            <v>김성욱</v>
          </cell>
          <cell r="C110" t="str">
            <v>서울대</v>
          </cell>
          <cell r="D110" t="str">
            <v>농업기계공</v>
          </cell>
          <cell r="H110" t="str">
            <v>0658-544-5286</v>
          </cell>
          <cell r="I110" t="str">
            <v>017-292-5286</v>
          </cell>
          <cell r="J110">
            <v>180</v>
          </cell>
          <cell r="K110">
            <v>76</v>
          </cell>
          <cell r="L110">
            <v>105</v>
          </cell>
        </row>
        <row r="111">
          <cell r="A111">
            <v>28</v>
          </cell>
          <cell r="B111" t="str">
            <v>김재영</v>
          </cell>
          <cell r="C111" t="str">
            <v>서울대</v>
          </cell>
          <cell r="D111" t="str">
            <v>농업기계공</v>
          </cell>
          <cell r="H111" t="str">
            <v>0331-290-0870</v>
          </cell>
          <cell r="I111" t="str">
            <v>016-760-0343</v>
          </cell>
          <cell r="J111">
            <v>175</v>
          </cell>
          <cell r="K111">
            <v>68</v>
          </cell>
          <cell r="L111">
            <v>105</v>
          </cell>
        </row>
        <row r="112">
          <cell r="A112">
            <v>13</v>
          </cell>
          <cell r="B112" t="str">
            <v>정영훈</v>
          </cell>
          <cell r="C112" t="str">
            <v>서울대</v>
          </cell>
          <cell r="D112" t="str">
            <v>농화학</v>
          </cell>
          <cell r="H112" t="str">
            <v>02-884-9609</v>
          </cell>
          <cell r="I112" t="str">
            <v>011-311-3987</v>
          </cell>
          <cell r="J112">
            <v>177</v>
          </cell>
          <cell r="K112">
            <v>72</v>
          </cell>
          <cell r="L112">
            <v>105</v>
          </cell>
          <cell r="M112" t="str">
            <v>신검탈락 검증자</v>
          </cell>
        </row>
        <row r="113">
          <cell r="A113">
            <v>99</v>
          </cell>
          <cell r="B113" t="str">
            <v>유동솔</v>
          </cell>
          <cell r="C113" t="str">
            <v>고려대</v>
          </cell>
          <cell r="D113" t="str">
            <v>독어(독문)</v>
          </cell>
          <cell r="H113" t="str">
            <v>0342-703-5857</v>
          </cell>
          <cell r="I113" t="str">
            <v>016-283-5307</v>
          </cell>
          <cell r="J113">
            <v>176</v>
          </cell>
          <cell r="K113">
            <v>85</v>
          </cell>
          <cell r="L113">
            <v>105</v>
          </cell>
        </row>
        <row r="114">
          <cell r="A114">
            <v>27</v>
          </cell>
          <cell r="B114" t="str">
            <v>김재영</v>
          </cell>
          <cell r="C114" t="str">
            <v>고려대</v>
          </cell>
          <cell r="D114" t="str">
            <v>동양사학</v>
          </cell>
          <cell r="H114" t="str">
            <v>02-911-5259</v>
          </cell>
          <cell r="I114" t="str">
            <v>017-711-5259</v>
          </cell>
          <cell r="J114">
            <v>178</v>
          </cell>
          <cell r="K114">
            <v>69</v>
          </cell>
          <cell r="L114">
            <v>105</v>
          </cell>
        </row>
        <row r="115">
          <cell r="A115">
            <v>4</v>
          </cell>
          <cell r="B115" t="str">
            <v>강성근</v>
          </cell>
          <cell r="C115" t="str">
            <v>고려대</v>
          </cell>
          <cell r="D115" t="str">
            <v>무역</v>
          </cell>
          <cell r="H115" t="str">
            <v>0345-492-7401</v>
          </cell>
          <cell r="I115" t="str">
            <v>016-555-0011</v>
          </cell>
          <cell r="J115">
            <v>172</v>
          </cell>
          <cell r="K115">
            <v>63</v>
          </cell>
          <cell r="L115">
            <v>100</v>
          </cell>
        </row>
        <row r="116">
          <cell r="A116">
            <v>88</v>
          </cell>
          <cell r="B116" t="str">
            <v>양희성</v>
          </cell>
          <cell r="C116" t="str">
            <v>고려대</v>
          </cell>
          <cell r="D116" t="str">
            <v>무역</v>
          </cell>
          <cell r="H116" t="str">
            <v>02-925-1841</v>
          </cell>
          <cell r="I116" t="str">
            <v>019-320-2569</v>
          </cell>
          <cell r="J116">
            <v>174</v>
          </cell>
          <cell r="K116">
            <v>67</v>
          </cell>
          <cell r="L116">
            <v>100</v>
          </cell>
        </row>
        <row r="117">
          <cell r="A117">
            <v>146</v>
          </cell>
          <cell r="B117" t="str">
            <v>전영식</v>
          </cell>
          <cell r="C117" t="str">
            <v>연세대</v>
          </cell>
          <cell r="D117" t="str">
            <v>물리학</v>
          </cell>
          <cell r="H117" t="str">
            <v>032-671-4102</v>
          </cell>
          <cell r="I117" t="str">
            <v>016-385-4102</v>
          </cell>
          <cell r="J117">
            <v>180</v>
          </cell>
          <cell r="K117">
            <v>75</v>
          </cell>
          <cell r="L117">
            <v>105</v>
          </cell>
        </row>
        <row r="118">
          <cell r="A118">
            <v>71</v>
          </cell>
          <cell r="B118" t="str">
            <v>성정훈</v>
          </cell>
          <cell r="C118" t="str">
            <v>고려대</v>
          </cell>
          <cell r="D118" t="str">
            <v>사회학</v>
          </cell>
          <cell r="H118" t="str">
            <v>02-927-4767</v>
          </cell>
          <cell r="I118" t="str">
            <v>016-376-5874</v>
          </cell>
          <cell r="J118">
            <v>172</v>
          </cell>
          <cell r="K118">
            <v>75</v>
          </cell>
          <cell r="L118">
            <v>100</v>
          </cell>
        </row>
        <row r="119">
          <cell r="A119">
            <v>167</v>
          </cell>
          <cell r="B119" t="str">
            <v>조현홍</v>
          </cell>
          <cell r="C119" t="str">
            <v>경성대</v>
          </cell>
          <cell r="D119" t="str">
            <v>산업공학</v>
          </cell>
          <cell r="H119" t="str">
            <v>052-272-7598</v>
          </cell>
          <cell r="I119" t="str">
            <v>016-582-7598</v>
          </cell>
          <cell r="J119">
            <v>180</v>
          </cell>
          <cell r="K119">
            <v>75</v>
          </cell>
          <cell r="L119">
            <v>105</v>
          </cell>
        </row>
        <row r="120">
          <cell r="A120">
            <v>131</v>
          </cell>
          <cell r="B120" t="str">
            <v>이진호</v>
          </cell>
          <cell r="C120" t="str">
            <v>일본] 와세다</v>
          </cell>
          <cell r="D120" t="str">
            <v>상학</v>
          </cell>
          <cell r="H120" t="str">
            <v>0342-713-3512</v>
          </cell>
          <cell r="I120" t="str">
            <v>011-9075-2939</v>
          </cell>
          <cell r="J120">
            <v>173</v>
          </cell>
          <cell r="K120">
            <v>70</v>
          </cell>
          <cell r="L120">
            <v>100</v>
          </cell>
        </row>
        <row r="121">
          <cell r="A121">
            <v>148</v>
          </cell>
          <cell r="B121" t="str">
            <v>전주열</v>
          </cell>
          <cell r="C121" t="str">
            <v>고려대</v>
          </cell>
          <cell r="D121" t="str">
            <v>서어(서문)</v>
          </cell>
          <cell r="H121" t="str">
            <v>02-3290-2153</v>
          </cell>
          <cell r="I121" t="str">
            <v>016-246-5091</v>
          </cell>
          <cell r="J121">
            <v>168</v>
          </cell>
          <cell r="K121">
            <v>64</v>
          </cell>
          <cell r="L121">
            <v>95</v>
          </cell>
        </row>
        <row r="122">
          <cell r="A122">
            <v>177</v>
          </cell>
          <cell r="B122" t="str">
            <v>최용득</v>
          </cell>
          <cell r="C122" t="str">
            <v>고려대</v>
          </cell>
          <cell r="D122" t="str">
            <v>서어(서문)</v>
          </cell>
          <cell r="H122" t="str">
            <v>02-964-7068</v>
          </cell>
          <cell r="I122" t="str">
            <v>017-723-0218</v>
          </cell>
          <cell r="J122">
            <v>168</v>
          </cell>
          <cell r="K122">
            <v>60</v>
          </cell>
          <cell r="L122">
            <v>95</v>
          </cell>
        </row>
        <row r="123">
          <cell r="A123">
            <v>38</v>
          </cell>
          <cell r="B123" t="str">
            <v>나유석</v>
          </cell>
          <cell r="C123" t="str">
            <v>고려대</v>
          </cell>
          <cell r="D123" t="str">
            <v>서어(서문)</v>
          </cell>
          <cell r="H123" t="str">
            <v>02-591-3813</v>
          </cell>
          <cell r="I123" t="str">
            <v>017-396-1937</v>
          </cell>
          <cell r="J123">
            <v>173</v>
          </cell>
          <cell r="K123">
            <v>67</v>
          </cell>
          <cell r="L123">
            <v>100</v>
          </cell>
        </row>
        <row r="124">
          <cell r="A124">
            <v>193</v>
          </cell>
          <cell r="B124" t="str">
            <v>황차연</v>
          </cell>
          <cell r="C124" t="str">
            <v>경희대</v>
          </cell>
          <cell r="D124" t="str">
            <v>섬유</v>
          </cell>
          <cell r="H124" t="str">
            <v>0331-246-4134</v>
          </cell>
          <cell r="I124" t="str">
            <v>017-280-6517</v>
          </cell>
          <cell r="J124">
            <v>174</v>
          </cell>
          <cell r="K124">
            <v>60</v>
          </cell>
          <cell r="L124">
            <v>100</v>
          </cell>
        </row>
        <row r="125">
          <cell r="A125">
            <v>153</v>
          </cell>
          <cell r="B125" t="str">
            <v>정성갑</v>
          </cell>
          <cell r="C125" t="str">
            <v>경희대</v>
          </cell>
          <cell r="D125" t="str">
            <v>섬유</v>
          </cell>
          <cell r="H125" t="str">
            <v>02-908-4952</v>
          </cell>
          <cell r="I125" t="str">
            <v>016-267-4956</v>
          </cell>
          <cell r="J125">
            <v>177</v>
          </cell>
          <cell r="K125">
            <v>66</v>
          </cell>
          <cell r="L125">
            <v>105</v>
          </cell>
        </row>
        <row r="126">
          <cell r="A126">
            <v>26</v>
          </cell>
          <cell r="B126" t="str">
            <v>김응수</v>
          </cell>
          <cell r="C126" t="str">
            <v>서울대</v>
          </cell>
          <cell r="D126" t="str">
            <v>섬유</v>
          </cell>
          <cell r="E126" t="str">
            <v>서울대</v>
          </cell>
          <cell r="F126" t="str">
            <v>섬유공학</v>
          </cell>
          <cell r="H126" t="str">
            <v>02-880-8736</v>
          </cell>
          <cell r="J126">
            <v>172</v>
          </cell>
          <cell r="K126">
            <v>68</v>
          </cell>
          <cell r="L126">
            <v>100</v>
          </cell>
        </row>
        <row r="127">
          <cell r="A127">
            <v>11</v>
          </cell>
          <cell r="B127" t="str">
            <v>김정선</v>
          </cell>
          <cell r="C127" t="str">
            <v>서울대</v>
          </cell>
          <cell r="D127" t="str">
            <v>섬유</v>
          </cell>
          <cell r="E127" t="str">
            <v>서울대</v>
          </cell>
          <cell r="F127" t="str">
            <v>섬유공학</v>
          </cell>
          <cell r="H127" t="str">
            <v>032-86-7375</v>
          </cell>
          <cell r="I127" t="str">
            <v>880-7195</v>
          </cell>
          <cell r="M127" t="str">
            <v>산학장학생</v>
          </cell>
        </row>
        <row r="128">
          <cell r="A128">
            <v>48</v>
          </cell>
          <cell r="B128" t="str">
            <v>박광환</v>
          </cell>
          <cell r="C128" t="str">
            <v>성균관대</v>
          </cell>
          <cell r="D128" t="str">
            <v>섬유</v>
          </cell>
          <cell r="H128" t="str">
            <v>233912182</v>
          </cell>
          <cell r="I128" t="str">
            <v>019-234-2182</v>
          </cell>
          <cell r="J128">
            <v>168</v>
          </cell>
          <cell r="K128">
            <v>55</v>
          </cell>
          <cell r="L128">
            <v>95</v>
          </cell>
        </row>
        <row r="129">
          <cell r="A129">
            <v>113</v>
          </cell>
          <cell r="B129" t="str">
            <v>이동훈</v>
          </cell>
          <cell r="C129" t="str">
            <v>성균관대</v>
          </cell>
          <cell r="D129" t="str">
            <v>섬유</v>
          </cell>
          <cell r="H129" t="str">
            <v>0331-294-3447</v>
          </cell>
          <cell r="I129" t="str">
            <v>016-211-2972</v>
          </cell>
          <cell r="J129">
            <v>168</v>
          </cell>
          <cell r="K129">
            <v>61</v>
          </cell>
          <cell r="L129">
            <v>95</v>
          </cell>
        </row>
        <row r="130">
          <cell r="A130">
            <v>9</v>
          </cell>
          <cell r="B130" t="str">
            <v>곽경훈</v>
          </cell>
          <cell r="C130" t="str">
            <v>성균관대</v>
          </cell>
          <cell r="D130" t="str">
            <v>섬유</v>
          </cell>
          <cell r="H130" t="str">
            <v>02-713-7936</v>
          </cell>
          <cell r="I130" t="str">
            <v>016-282-7936</v>
          </cell>
          <cell r="J130">
            <v>175</v>
          </cell>
          <cell r="K130">
            <v>72</v>
          </cell>
          <cell r="L130">
            <v>100</v>
          </cell>
        </row>
        <row r="131">
          <cell r="A131">
            <v>42</v>
          </cell>
          <cell r="B131" t="str">
            <v>류순주</v>
          </cell>
          <cell r="C131" t="str">
            <v>성균관대</v>
          </cell>
          <cell r="D131" t="str">
            <v>섬유</v>
          </cell>
          <cell r="H131" t="str">
            <v>0343-425-9468</v>
          </cell>
          <cell r="I131" t="str">
            <v>018-251-9468</v>
          </cell>
          <cell r="J131">
            <v>174</v>
          </cell>
          <cell r="K131">
            <v>66</v>
          </cell>
          <cell r="L131">
            <v>100</v>
          </cell>
        </row>
        <row r="132">
          <cell r="A132">
            <v>50</v>
          </cell>
          <cell r="B132" t="str">
            <v>박대희</v>
          </cell>
          <cell r="C132" t="str">
            <v>성균관대</v>
          </cell>
          <cell r="D132" t="str">
            <v>섬유</v>
          </cell>
          <cell r="H132" t="str">
            <v>02-548-6228</v>
          </cell>
          <cell r="I132" t="str">
            <v>018-329-6228</v>
          </cell>
          <cell r="J132">
            <v>173</v>
          </cell>
          <cell r="K132">
            <v>58</v>
          </cell>
          <cell r="L132">
            <v>100</v>
          </cell>
        </row>
        <row r="133">
          <cell r="A133">
            <v>132</v>
          </cell>
          <cell r="B133" t="str">
            <v>이창재</v>
          </cell>
          <cell r="C133" t="str">
            <v>성균관대</v>
          </cell>
          <cell r="D133" t="str">
            <v>섬유</v>
          </cell>
          <cell r="H133" t="str">
            <v>0591-742-2432</v>
          </cell>
          <cell r="I133" t="str">
            <v>017-544-8256</v>
          </cell>
          <cell r="J133">
            <v>173</v>
          </cell>
          <cell r="K133">
            <v>75</v>
          </cell>
          <cell r="L133">
            <v>100</v>
          </cell>
        </row>
        <row r="134">
          <cell r="A134">
            <v>135</v>
          </cell>
          <cell r="B134" t="str">
            <v>이현호</v>
          </cell>
          <cell r="C134" t="str">
            <v>성균관대</v>
          </cell>
          <cell r="D134" t="str">
            <v>섬유</v>
          </cell>
          <cell r="H134" t="str">
            <v>0342-731-9898</v>
          </cell>
          <cell r="I134" t="str">
            <v>017-286-6198</v>
          </cell>
          <cell r="J134">
            <v>180</v>
          </cell>
          <cell r="K134">
            <v>75</v>
          </cell>
          <cell r="L134">
            <v>100</v>
          </cell>
        </row>
        <row r="135">
          <cell r="A135">
            <v>102</v>
          </cell>
          <cell r="B135" t="str">
            <v>유지욱</v>
          </cell>
          <cell r="C135" t="str">
            <v>성균관대</v>
          </cell>
          <cell r="D135" t="str">
            <v>섬유</v>
          </cell>
          <cell r="H135" t="str">
            <v>0342-706-9449</v>
          </cell>
          <cell r="I135" t="str">
            <v>017-357-9449</v>
          </cell>
          <cell r="J135">
            <v>178</v>
          </cell>
          <cell r="K135">
            <v>95</v>
          </cell>
          <cell r="L135">
            <v>105</v>
          </cell>
        </row>
        <row r="136">
          <cell r="A136">
            <v>41</v>
          </cell>
          <cell r="B136" t="str">
            <v>류광택</v>
          </cell>
          <cell r="C136" t="str">
            <v>영남대</v>
          </cell>
          <cell r="D136" t="str">
            <v>섬유</v>
          </cell>
          <cell r="H136" t="str">
            <v>053-651-2224</v>
          </cell>
          <cell r="I136" t="str">
            <v>016-720-2224</v>
          </cell>
          <cell r="J136">
            <v>168</v>
          </cell>
          <cell r="K136">
            <v>80</v>
          </cell>
          <cell r="L136">
            <v>95</v>
          </cell>
        </row>
        <row r="137">
          <cell r="A137">
            <v>7</v>
          </cell>
          <cell r="B137" t="str">
            <v>강재익</v>
          </cell>
          <cell r="C137" t="str">
            <v>인하대</v>
          </cell>
          <cell r="D137" t="str">
            <v>섬유</v>
          </cell>
          <cell r="E137" t="str">
            <v>인하대</v>
          </cell>
          <cell r="F137" t="str">
            <v>섬유공학</v>
          </cell>
          <cell r="H137" t="str">
            <v>0417-555-0476</v>
          </cell>
          <cell r="I137" t="str">
            <v>018-422-9919</v>
          </cell>
          <cell r="J137">
            <v>175</v>
          </cell>
          <cell r="K137">
            <v>76</v>
          </cell>
          <cell r="L137">
            <v>100</v>
          </cell>
        </row>
        <row r="138">
          <cell r="A138">
            <v>40</v>
          </cell>
          <cell r="B138" t="str">
            <v>라규일</v>
          </cell>
          <cell r="C138" t="str">
            <v>인하대</v>
          </cell>
          <cell r="D138" t="str">
            <v>섬유</v>
          </cell>
          <cell r="E138" t="str">
            <v>인하대</v>
          </cell>
          <cell r="F138" t="str">
            <v>섬유공학</v>
          </cell>
          <cell r="H138" t="str">
            <v>3312978864</v>
          </cell>
          <cell r="I138" t="str">
            <v>016-306-8864</v>
          </cell>
          <cell r="J138">
            <v>172</v>
          </cell>
          <cell r="K138">
            <v>60</v>
          </cell>
          <cell r="L138">
            <v>100</v>
          </cell>
        </row>
        <row r="139">
          <cell r="A139">
            <v>181</v>
          </cell>
          <cell r="B139" t="str">
            <v>편도균</v>
          </cell>
          <cell r="C139" t="str">
            <v>충남대</v>
          </cell>
          <cell r="D139" t="str">
            <v>섬유</v>
          </cell>
          <cell r="H139" t="str">
            <v>042-283-3958</v>
          </cell>
          <cell r="I139" t="str">
            <v>019-428-9124</v>
          </cell>
          <cell r="J139">
            <v>173</v>
          </cell>
          <cell r="K139">
            <v>66</v>
          </cell>
          <cell r="L139">
            <v>100</v>
          </cell>
        </row>
        <row r="140">
          <cell r="A140">
            <v>154</v>
          </cell>
          <cell r="B140" t="str">
            <v>정우진</v>
          </cell>
          <cell r="C140" t="str">
            <v>충남대</v>
          </cell>
          <cell r="D140" t="str">
            <v>섬유</v>
          </cell>
          <cell r="H140" t="str">
            <v>042-533-0578</v>
          </cell>
          <cell r="I140" t="str">
            <v>017-402-0578</v>
          </cell>
          <cell r="J140">
            <v>176</v>
          </cell>
          <cell r="K140">
            <v>65</v>
          </cell>
          <cell r="L140">
            <v>105</v>
          </cell>
        </row>
        <row r="141">
          <cell r="A141">
            <v>121</v>
          </cell>
          <cell r="B141" t="str">
            <v>이승훈</v>
          </cell>
          <cell r="C141" t="str">
            <v>한양대</v>
          </cell>
          <cell r="D141" t="str">
            <v>섬유</v>
          </cell>
          <cell r="H141" t="str">
            <v>052-292-1028</v>
          </cell>
          <cell r="I141" t="str">
            <v>019-388-5370</v>
          </cell>
          <cell r="J141">
            <v>173</v>
          </cell>
          <cell r="K141">
            <v>70</v>
          </cell>
          <cell r="L141">
            <v>100</v>
          </cell>
        </row>
        <row r="142">
          <cell r="A142">
            <v>68</v>
          </cell>
          <cell r="B142" t="str">
            <v>백형원</v>
          </cell>
          <cell r="C142" t="str">
            <v>한양대</v>
          </cell>
          <cell r="D142" t="str">
            <v>섬유</v>
          </cell>
          <cell r="H142" t="str">
            <v>02-387-4714</v>
          </cell>
          <cell r="I142" t="str">
            <v>018-256-4714</v>
          </cell>
          <cell r="J142">
            <v>178</v>
          </cell>
          <cell r="K142">
            <v>72</v>
          </cell>
          <cell r="L142">
            <v>105</v>
          </cell>
        </row>
        <row r="143">
          <cell r="A143">
            <v>7</v>
          </cell>
          <cell r="B143" t="str">
            <v>허종태</v>
          </cell>
          <cell r="C143" t="str">
            <v>한양대</v>
          </cell>
          <cell r="D143" t="str">
            <v>섬유</v>
          </cell>
          <cell r="E143" t="str">
            <v>한양대</v>
          </cell>
          <cell r="F143" t="str">
            <v>섬유공학</v>
          </cell>
          <cell r="H143" t="str">
            <v>02-421-2938</v>
          </cell>
          <cell r="I143" t="str">
            <v>011-585-2938</v>
          </cell>
          <cell r="M143" t="str">
            <v>산학장학생</v>
          </cell>
        </row>
        <row r="144">
          <cell r="A144">
            <v>18</v>
          </cell>
          <cell r="B144" t="str">
            <v>최승우</v>
          </cell>
          <cell r="C144" t="str">
            <v>한양대</v>
          </cell>
          <cell r="D144" t="str">
            <v>섬유</v>
          </cell>
          <cell r="E144" t="str">
            <v>한양대</v>
          </cell>
          <cell r="F144" t="str">
            <v>섬유</v>
          </cell>
          <cell r="I144" t="str">
            <v>018-226-5634</v>
          </cell>
          <cell r="M144" t="str">
            <v>연구소 채용자</v>
          </cell>
        </row>
        <row r="145">
          <cell r="A145">
            <v>19</v>
          </cell>
          <cell r="B145" t="str">
            <v>유상훈</v>
          </cell>
          <cell r="C145" t="str">
            <v>부산대</v>
          </cell>
          <cell r="D145" t="str">
            <v>섬유</v>
          </cell>
          <cell r="E145" t="str">
            <v>부산대</v>
          </cell>
          <cell r="F145" t="str">
            <v>섬유</v>
          </cell>
          <cell r="I145" t="str">
            <v>016-555-3055</v>
          </cell>
          <cell r="M145" t="str">
            <v>연구소 채용자</v>
          </cell>
        </row>
        <row r="146">
          <cell r="A146">
            <v>21</v>
          </cell>
          <cell r="B146" t="str">
            <v>강민성</v>
          </cell>
          <cell r="C146" t="str">
            <v>서울대</v>
          </cell>
          <cell r="D146" t="str">
            <v>섬유</v>
          </cell>
          <cell r="E146" t="str">
            <v>서울대</v>
          </cell>
          <cell r="F146" t="str">
            <v>섬유고분자공학</v>
          </cell>
          <cell r="H146" t="str">
            <v>0344-963-2724</v>
          </cell>
          <cell r="M146" t="str">
            <v>연구소 채용자</v>
          </cell>
        </row>
        <row r="147">
          <cell r="A147">
            <v>77</v>
          </cell>
          <cell r="B147" t="str">
            <v>신용선</v>
          </cell>
          <cell r="C147" t="str">
            <v>부산대</v>
          </cell>
          <cell r="D147" t="str">
            <v>섬유</v>
          </cell>
          <cell r="H147" t="str">
            <v>051-514-9661</v>
          </cell>
          <cell r="I147" t="str">
            <v>019-356-9661</v>
          </cell>
          <cell r="J147">
            <v>169</v>
          </cell>
          <cell r="K147">
            <v>61</v>
          </cell>
          <cell r="L147">
            <v>95</v>
          </cell>
        </row>
        <row r="148">
          <cell r="A148">
            <v>17</v>
          </cell>
          <cell r="B148" t="str">
            <v>김성훈</v>
          </cell>
          <cell r="C148" t="str">
            <v>한양대</v>
          </cell>
          <cell r="D148" t="str">
            <v>섬유</v>
          </cell>
          <cell r="H148" t="str">
            <v>02-581-7399</v>
          </cell>
          <cell r="I148" t="str">
            <v>019-308-3329</v>
          </cell>
          <cell r="J148">
            <v>177</v>
          </cell>
          <cell r="K148">
            <v>78</v>
          </cell>
          <cell r="L148">
            <v>105</v>
          </cell>
        </row>
        <row r="149">
          <cell r="A149">
            <v>36</v>
          </cell>
          <cell r="B149" t="str">
            <v>김형수</v>
          </cell>
          <cell r="C149" t="str">
            <v>서강대</v>
          </cell>
          <cell r="D149" t="str">
            <v>수학</v>
          </cell>
          <cell r="E149" t="str">
            <v>서강대</v>
          </cell>
          <cell r="F149" t="str">
            <v>공학계열기타</v>
          </cell>
          <cell r="H149" t="str">
            <v>28610068</v>
          </cell>
          <cell r="I149" t="str">
            <v>019-261-1068</v>
          </cell>
          <cell r="J149">
            <v>181</v>
          </cell>
          <cell r="K149">
            <v>70</v>
          </cell>
          <cell r="L149">
            <v>110</v>
          </cell>
        </row>
        <row r="150">
          <cell r="A150">
            <v>105</v>
          </cell>
          <cell r="B150" t="str">
            <v>윤성현</v>
          </cell>
          <cell r="C150" t="str">
            <v>경북대</v>
          </cell>
          <cell r="D150" t="str">
            <v>염색공학</v>
          </cell>
          <cell r="H150" t="str">
            <v>053-471-6131</v>
          </cell>
          <cell r="I150" t="str">
            <v>011-826-6131</v>
          </cell>
          <cell r="J150">
            <v>175</v>
          </cell>
          <cell r="K150">
            <v>80</v>
          </cell>
          <cell r="L150">
            <v>100</v>
          </cell>
        </row>
        <row r="151">
          <cell r="A151">
            <v>179</v>
          </cell>
          <cell r="B151" t="str">
            <v>최재원</v>
          </cell>
          <cell r="C151" t="str">
            <v>경북대</v>
          </cell>
          <cell r="D151" t="str">
            <v>염색공학</v>
          </cell>
          <cell r="H151" t="str">
            <v>053-763-5348</v>
          </cell>
          <cell r="I151" t="str">
            <v>011-9578-5724</v>
          </cell>
          <cell r="J151">
            <v>175</v>
          </cell>
          <cell r="K151">
            <v>74</v>
          </cell>
          <cell r="L151">
            <v>100</v>
          </cell>
        </row>
        <row r="152">
          <cell r="A152">
            <v>17</v>
          </cell>
          <cell r="B152" t="str">
            <v>김동윤</v>
          </cell>
          <cell r="C152" t="str">
            <v>경북대</v>
          </cell>
          <cell r="D152" t="str">
            <v>염색공학</v>
          </cell>
          <cell r="E152" t="str">
            <v>경북대</v>
          </cell>
          <cell r="F152" t="str">
            <v>염색공학</v>
          </cell>
          <cell r="H152" t="str">
            <v>053-950-5638</v>
          </cell>
          <cell r="M152" t="str">
            <v>연구소 채용자</v>
          </cell>
        </row>
        <row r="153">
          <cell r="A153">
            <v>194</v>
          </cell>
          <cell r="B153" t="str">
            <v>황희태</v>
          </cell>
          <cell r="C153" t="str">
            <v>고려대</v>
          </cell>
          <cell r="D153" t="str">
            <v>영어(영문)</v>
          </cell>
          <cell r="H153" t="str">
            <v>02-928-2795</v>
          </cell>
          <cell r="I153" t="str">
            <v>011-748-5496</v>
          </cell>
          <cell r="J153">
            <v>174.8</v>
          </cell>
          <cell r="K153">
            <v>71</v>
          </cell>
          <cell r="L153">
            <v>100</v>
          </cell>
        </row>
        <row r="154">
          <cell r="A154">
            <v>128</v>
          </cell>
          <cell r="B154" t="str">
            <v>이정주</v>
          </cell>
          <cell r="C154" t="str">
            <v>성균관대</v>
          </cell>
          <cell r="D154" t="str">
            <v>영어(영문)</v>
          </cell>
          <cell r="H154" t="str">
            <v>0357-542-7743</v>
          </cell>
          <cell r="I154" t="str">
            <v>011-447-5114</v>
          </cell>
          <cell r="J154">
            <v>168</v>
          </cell>
          <cell r="K154">
            <v>64</v>
          </cell>
          <cell r="L154">
            <v>95</v>
          </cell>
        </row>
        <row r="155">
          <cell r="A155">
            <v>189</v>
          </cell>
          <cell r="B155" t="str">
            <v>홍진태</v>
          </cell>
          <cell r="C155" t="str">
            <v>한국외대</v>
          </cell>
          <cell r="D155" t="str">
            <v>영어(영문)</v>
          </cell>
          <cell r="E155" t="str">
            <v>한국외대</v>
          </cell>
          <cell r="F155" t="str">
            <v>상경계열기타</v>
          </cell>
          <cell r="H155" t="str">
            <v>02-537-8881</v>
          </cell>
          <cell r="I155" t="str">
            <v>019-408-8881</v>
          </cell>
          <cell r="J155">
            <v>176.5</v>
          </cell>
          <cell r="K155">
            <v>65</v>
          </cell>
          <cell r="L155">
            <v>105</v>
          </cell>
        </row>
        <row r="156">
          <cell r="A156">
            <v>30</v>
          </cell>
          <cell r="B156" t="str">
            <v>김종완</v>
          </cell>
          <cell r="C156" t="str">
            <v>고려대</v>
          </cell>
          <cell r="D156" t="str">
            <v>유전공</v>
          </cell>
          <cell r="H156" t="str">
            <v>02-929-3286</v>
          </cell>
          <cell r="I156" t="str">
            <v>015-8344-3286</v>
          </cell>
          <cell r="J156">
            <v>167</v>
          </cell>
          <cell r="K156">
            <v>60</v>
          </cell>
          <cell r="L156">
            <v>95</v>
          </cell>
        </row>
        <row r="157">
          <cell r="A157">
            <v>126</v>
          </cell>
          <cell r="B157" t="str">
            <v>이재선</v>
          </cell>
          <cell r="C157" t="str">
            <v>고려대</v>
          </cell>
          <cell r="D157" t="str">
            <v>응용전자공학과</v>
          </cell>
          <cell r="H157" t="str">
            <v>0344-978-0122</v>
          </cell>
          <cell r="I157" t="str">
            <v>019-221-0517</v>
          </cell>
          <cell r="J157">
            <v>180</v>
          </cell>
          <cell r="K157">
            <v>72</v>
          </cell>
          <cell r="L157">
            <v>105</v>
          </cell>
        </row>
        <row r="158">
          <cell r="A158">
            <v>109</v>
          </cell>
          <cell r="B158" t="str">
            <v>이강준</v>
          </cell>
          <cell r="C158" t="str">
            <v>서울대</v>
          </cell>
          <cell r="D158" t="str">
            <v>이학계열</v>
          </cell>
          <cell r="H158" t="str">
            <v>032-873-1668</v>
          </cell>
          <cell r="I158" t="str">
            <v>011-319-3818</v>
          </cell>
          <cell r="J158">
            <v>175</v>
          </cell>
          <cell r="K158">
            <v>65</v>
          </cell>
          <cell r="L158">
            <v>100</v>
          </cell>
        </row>
        <row r="159">
          <cell r="A159">
            <v>108</v>
          </cell>
          <cell r="B159" t="str">
            <v>윤진영</v>
          </cell>
          <cell r="C159" t="str">
            <v>세종대</v>
          </cell>
          <cell r="D159" t="str">
            <v>일어(일문)</v>
          </cell>
          <cell r="H159" t="str">
            <v>02-446-3310</v>
          </cell>
          <cell r="I159" t="str">
            <v>017-327-3311</v>
          </cell>
          <cell r="J159">
            <v>171</v>
          </cell>
          <cell r="K159">
            <v>63</v>
          </cell>
          <cell r="L159">
            <v>100</v>
          </cell>
        </row>
        <row r="160">
          <cell r="A160">
            <v>120</v>
          </cell>
          <cell r="B160" t="str">
            <v>이수열</v>
          </cell>
          <cell r="C160" t="str">
            <v>서울대</v>
          </cell>
          <cell r="D160" t="str">
            <v>자원공</v>
          </cell>
          <cell r="H160" t="str">
            <v>02-874-9750</v>
          </cell>
          <cell r="I160" t="str">
            <v>019-372-9750</v>
          </cell>
          <cell r="J160">
            <v>177</v>
          </cell>
          <cell r="K160">
            <v>72</v>
          </cell>
          <cell r="L160">
            <v>105</v>
          </cell>
        </row>
        <row r="161">
          <cell r="A161">
            <v>78</v>
          </cell>
          <cell r="B161" t="str">
            <v>신용필</v>
          </cell>
          <cell r="C161" t="str">
            <v>서울대</v>
          </cell>
          <cell r="D161" t="str">
            <v>재료공</v>
          </cell>
          <cell r="H161" t="str">
            <v>0344-976-2212</v>
          </cell>
          <cell r="I161" t="str">
            <v>017-244-2295</v>
          </cell>
          <cell r="J161">
            <v>177</v>
          </cell>
          <cell r="K161">
            <v>68</v>
          </cell>
          <cell r="L161">
            <v>105</v>
          </cell>
        </row>
        <row r="162">
          <cell r="A162">
            <v>39</v>
          </cell>
          <cell r="B162" t="str">
            <v>나준</v>
          </cell>
          <cell r="C162" t="str">
            <v>건국대</v>
          </cell>
          <cell r="D162" t="str">
            <v>전기</v>
          </cell>
          <cell r="H162" t="str">
            <v>02-467-3694</v>
          </cell>
          <cell r="I162" t="str">
            <v>017-280-6963</v>
          </cell>
          <cell r="J162">
            <v>170</v>
          </cell>
          <cell r="K162">
            <v>63</v>
          </cell>
          <cell r="L162">
            <v>95</v>
          </cell>
        </row>
        <row r="163">
          <cell r="A163">
            <v>51</v>
          </cell>
          <cell r="B163" t="str">
            <v>박성원</v>
          </cell>
          <cell r="C163" t="str">
            <v>건국대</v>
          </cell>
          <cell r="D163" t="str">
            <v>전기</v>
          </cell>
          <cell r="H163" t="str">
            <v>02-499-0942</v>
          </cell>
          <cell r="I163" t="str">
            <v>018-217-0942</v>
          </cell>
          <cell r="J163">
            <v>173</v>
          </cell>
          <cell r="K163">
            <v>77</v>
          </cell>
          <cell r="L163">
            <v>100</v>
          </cell>
        </row>
        <row r="164">
          <cell r="A164">
            <v>115</v>
          </cell>
          <cell r="B164" t="str">
            <v>이상원</v>
          </cell>
          <cell r="C164" t="str">
            <v>건국대</v>
          </cell>
          <cell r="D164" t="str">
            <v>전기</v>
          </cell>
          <cell r="H164" t="str">
            <v>02) 355-1250</v>
          </cell>
          <cell r="I164" t="str">
            <v>012-838-1250</v>
          </cell>
          <cell r="J164">
            <v>176</v>
          </cell>
          <cell r="K164">
            <v>63</v>
          </cell>
          <cell r="L164">
            <v>105</v>
          </cell>
        </row>
        <row r="165">
          <cell r="A165">
            <v>173</v>
          </cell>
          <cell r="B165" t="str">
            <v>최보수</v>
          </cell>
          <cell r="C165" t="str">
            <v>건국대</v>
          </cell>
          <cell r="D165" t="str">
            <v>전기</v>
          </cell>
          <cell r="H165" t="str">
            <v>02-446-1205</v>
          </cell>
          <cell r="I165" t="str">
            <v>019-312-4506</v>
          </cell>
          <cell r="J165">
            <v>181</v>
          </cell>
          <cell r="K165">
            <v>63</v>
          </cell>
          <cell r="L165">
            <v>110</v>
          </cell>
        </row>
        <row r="166">
          <cell r="A166">
            <v>183</v>
          </cell>
          <cell r="B166" t="str">
            <v>한창음</v>
          </cell>
          <cell r="C166" t="str">
            <v>경북대</v>
          </cell>
          <cell r="D166" t="str">
            <v>전기</v>
          </cell>
          <cell r="E166" t="str">
            <v>경북대</v>
          </cell>
          <cell r="F166" t="str">
            <v>전기공학</v>
          </cell>
          <cell r="H166" t="str">
            <v>533523079</v>
          </cell>
          <cell r="I166" t="str">
            <v>017-515-4428</v>
          </cell>
          <cell r="J166">
            <v>169</v>
          </cell>
          <cell r="K166">
            <v>54</v>
          </cell>
          <cell r="L166">
            <v>95</v>
          </cell>
        </row>
        <row r="167">
          <cell r="A167">
            <v>103</v>
          </cell>
          <cell r="B167" t="str">
            <v>유현오</v>
          </cell>
          <cell r="C167" t="str">
            <v>경북대</v>
          </cell>
          <cell r="D167" t="str">
            <v>전기</v>
          </cell>
          <cell r="E167" t="str">
            <v>경북대</v>
          </cell>
          <cell r="F167" t="str">
            <v>전기공학</v>
          </cell>
          <cell r="H167" t="str">
            <v>053)940-8746</v>
          </cell>
          <cell r="I167" t="str">
            <v>017-511-2844</v>
          </cell>
          <cell r="J167">
            <v>172</v>
          </cell>
          <cell r="K167">
            <v>77</v>
          </cell>
          <cell r="L167">
            <v>100</v>
          </cell>
        </row>
        <row r="168">
          <cell r="A168">
            <v>180</v>
          </cell>
          <cell r="B168" t="str">
            <v>최진만</v>
          </cell>
          <cell r="C168" t="str">
            <v>경북대</v>
          </cell>
          <cell r="D168" t="str">
            <v>전기</v>
          </cell>
          <cell r="E168" t="str">
            <v>경북대</v>
          </cell>
          <cell r="F168" t="str">
            <v>전기공학</v>
          </cell>
          <cell r="H168" t="str">
            <v>053-853-3373</v>
          </cell>
          <cell r="J168">
            <v>172</v>
          </cell>
          <cell r="K168">
            <v>66</v>
          </cell>
          <cell r="L168">
            <v>100</v>
          </cell>
        </row>
        <row r="169">
          <cell r="A169">
            <v>55</v>
          </cell>
          <cell r="B169" t="str">
            <v>박용하</v>
          </cell>
          <cell r="C169" t="str">
            <v>고려대</v>
          </cell>
          <cell r="D169" t="str">
            <v>전기</v>
          </cell>
          <cell r="H169" t="str">
            <v>0446-877-0757</v>
          </cell>
          <cell r="I169" t="str">
            <v>011-9752-1562</v>
          </cell>
          <cell r="J169">
            <v>168</v>
          </cell>
          <cell r="K169">
            <v>62</v>
          </cell>
          <cell r="L169">
            <v>95</v>
          </cell>
        </row>
        <row r="170">
          <cell r="A170">
            <v>29</v>
          </cell>
          <cell r="B170" t="str">
            <v>김정대</v>
          </cell>
          <cell r="C170" t="str">
            <v>고려대</v>
          </cell>
          <cell r="D170" t="str">
            <v>전기</v>
          </cell>
          <cell r="H170" t="str">
            <v>02-804-1991</v>
          </cell>
          <cell r="I170" t="str">
            <v>016-299-0775</v>
          </cell>
          <cell r="J170">
            <v>173</v>
          </cell>
          <cell r="K170">
            <v>70</v>
          </cell>
          <cell r="L170">
            <v>100</v>
          </cell>
        </row>
        <row r="171">
          <cell r="A171">
            <v>49</v>
          </cell>
          <cell r="B171" t="str">
            <v>박노중</v>
          </cell>
          <cell r="C171" t="str">
            <v>광운대</v>
          </cell>
          <cell r="D171" t="str">
            <v>전기</v>
          </cell>
          <cell r="E171" t="str">
            <v>광운대</v>
          </cell>
          <cell r="F171" t="str">
            <v>전기공학</v>
          </cell>
          <cell r="H171" t="str">
            <v>(02)940-5146</v>
          </cell>
          <cell r="I171" t="str">
            <v>016-396-6253</v>
          </cell>
          <cell r="J171">
            <v>170</v>
          </cell>
          <cell r="K171">
            <v>67</v>
          </cell>
          <cell r="L171">
            <v>95</v>
          </cell>
        </row>
        <row r="172">
          <cell r="A172">
            <v>122</v>
          </cell>
          <cell r="B172" t="str">
            <v>이용석</v>
          </cell>
          <cell r="C172" t="str">
            <v>광운대</v>
          </cell>
          <cell r="D172" t="str">
            <v>전기</v>
          </cell>
          <cell r="H172" t="str">
            <v>0344-902-0787</v>
          </cell>
          <cell r="I172" t="str">
            <v>018-207-0787</v>
          </cell>
          <cell r="J172">
            <v>170</v>
          </cell>
          <cell r="K172">
            <v>69</v>
          </cell>
          <cell r="L172">
            <v>95</v>
          </cell>
        </row>
        <row r="173">
          <cell r="A173">
            <v>157</v>
          </cell>
          <cell r="B173" t="str">
            <v>정홍주</v>
          </cell>
          <cell r="C173" t="str">
            <v>광운대</v>
          </cell>
          <cell r="D173" t="str">
            <v>전기</v>
          </cell>
          <cell r="E173" t="str">
            <v>광운대</v>
          </cell>
          <cell r="F173" t="str">
            <v>전기공학</v>
          </cell>
          <cell r="H173" t="str">
            <v>02-940-5146</v>
          </cell>
          <cell r="I173" t="str">
            <v>017-274-7237</v>
          </cell>
          <cell r="J173">
            <v>169</v>
          </cell>
          <cell r="K173">
            <v>63</v>
          </cell>
          <cell r="L173">
            <v>95</v>
          </cell>
        </row>
        <row r="174">
          <cell r="A174">
            <v>12</v>
          </cell>
          <cell r="B174" t="str">
            <v>한수영</v>
          </cell>
          <cell r="C174" t="str">
            <v>광운대</v>
          </cell>
          <cell r="D174" t="str">
            <v>전기</v>
          </cell>
          <cell r="E174" t="str">
            <v>광운대</v>
          </cell>
          <cell r="F174" t="str">
            <v>전기공학</v>
          </cell>
          <cell r="H174" t="str">
            <v>02-940-5148</v>
          </cell>
          <cell r="I174" t="str">
            <v>017-752-1583</v>
          </cell>
          <cell r="J174">
            <v>175</v>
          </cell>
          <cell r="K174">
            <v>62</v>
          </cell>
          <cell r="L174">
            <v>100</v>
          </cell>
          <cell r="M174" t="str">
            <v>신검탈락 검증자</v>
          </cell>
        </row>
        <row r="175">
          <cell r="A175">
            <v>11</v>
          </cell>
          <cell r="B175" t="str">
            <v>김남수</v>
          </cell>
          <cell r="C175" t="str">
            <v>광운대</v>
          </cell>
          <cell r="D175" t="str">
            <v>전기</v>
          </cell>
          <cell r="H175" t="str">
            <v>965-7552</v>
          </cell>
          <cell r="I175" t="str">
            <v>017-315-9310</v>
          </cell>
          <cell r="J175">
            <v>180</v>
          </cell>
          <cell r="K175">
            <v>75</v>
          </cell>
          <cell r="L175">
            <v>105</v>
          </cell>
        </row>
        <row r="176">
          <cell r="A176">
            <v>63</v>
          </cell>
          <cell r="B176" t="str">
            <v>배수진</v>
          </cell>
          <cell r="C176" t="str">
            <v>부산대</v>
          </cell>
          <cell r="D176" t="str">
            <v>전기</v>
          </cell>
          <cell r="H176" t="str">
            <v>051-754-2063</v>
          </cell>
          <cell r="I176" t="str">
            <v>011-9550-2063</v>
          </cell>
          <cell r="J176">
            <v>168</v>
          </cell>
          <cell r="K176">
            <v>68</v>
          </cell>
          <cell r="L176">
            <v>95</v>
          </cell>
        </row>
        <row r="177">
          <cell r="A177">
            <v>90</v>
          </cell>
          <cell r="B177" t="str">
            <v>오성룡</v>
          </cell>
          <cell r="C177" t="str">
            <v>부산대</v>
          </cell>
          <cell r="D177" t="str">
            <v>전기</v>
          </cell>
          <cell r="H177" t="str">
            <v>5512882506</v>
          </cell>
          <cell r="I177" t="str">
            <v>019-276-0818</v>
          </cell>
          <cell r="J177">
            <v>171</v>
          </cell>
          <cell r="K177">
            <v>70</v>
          </cell>
          <cell r="L177">
            <v>100</v>
          </cell>
        </row>
        <row r="178">
          <cell r="A178">
            <v>110</v>
          </cell>
          <cell r="B178" t="str">
            <v>이곤</v>
          </cell>
          <cell r="C178" t="str">
            <v>숭실대</v>
          </cell>
          <cell r="D178" t="str">
            <v>전기</v>
          </cell>
          <cell r="E178" t="str">
            <v>숭실대</v>
          </cell>
          <cell r="F178" t="str">
            <v>전기공학</v>
          </cell>
          <cell r="H178" t="str">
            <v>032-654-1779</v>
          </cell>
          <cell r="I178" t="str">
            <v>016-430-1972</v>
          </cell>
          <cell r="J178">
            <v>173</v>
          </cell>
          <cell r="K178">
            <v>56</v>
          </cell>
          <cell r="L178">
            <v>100</v>
          </cell>
        </row>
        <row r="179">
          <cell r="A179">
            <v>14</v>
          </cell>
          <cell r="B179" t="str">
            <v>김선근</v>
          </cell>
          <cell r="C179" t="str">
            <v>인하대</v>
          </cell>
          <cell r="D179" t="str">
            <v>전기</v>
          </cell>
          <cell r="H179" t="str">
            <v>02-723-9361</v>
          </cell>
          <cell r="I179" t="str">
            <v>016-322-8826</v>
          </cell>
          <cell r="J179">
            <v>168</v>
          </cell>
          <cell r="K179">
            <v>61</v>
          </cell>
          <cell r="L179">
            <v>95</v>
          </cell>
        </row>
        <row r="180">
          <cell r="A180">
            <v>114</v>
          </cell>
          <cell r="B180" t="str">
            <v>이상국</v>
          </cell>
          <cell r="C180" t="str">
            <v>인하대</v>
          </cell>
          <cell r="D180" t="str">
            <v>전기</v>
          </cell>
          <cell r="H180" t="str">
            <v>032-518-6939</v>
          </cell>
          <cell r="I180" t="str">
            <v>017-339-9620</v>
          </cell>
          <cell r="J180">
            <v>179</v>
          </cell>
          <cell r="K180">
            <v>66</v>
          </cell>
          <cell r="L180">
            <v>105</v>
          </cell>
        </row>
        <row r="181">
          <cell r="A181">
            <v>172</v>
          </cell>
          <cell r="B181" t="str">
            <v>최동선</v>
          </cell>
          <cell r="C181" t="str">
            <v>인하대</v>
          </cell>
          <cell r="D181" t="str">
            <v>전기</v>
          </cell>
          <cell r="H181" t="str">
            <v>018-237-2625</v>
          </cell>
          <cell r="I181" t="str">
            <v>018-237-2625</v>
          </cell>
          <cell r="J181">
            <v>179</v>
          </cell>
          <cell r="K181">
            <v>64</v>
          </cell>
          <cell r="L181">
            <v>105</v>
          </cell>
        </row>
        <row r="182">
          <cell r="A182">
            <v>61</v>
          </cell>
          <cell r="B182" t="str">
            <v>박화성</v>
          </cell>
          <cell r="C182" t="str">
            <v>중앙대</v>
          </cell>
          <cell r="D182" t="str">
            <v>전기</v>
          </cell>
          <cell r="H182" t="str">
            <v>02-825-9392</v>
          </cell>
          <cell r="I182" t="str">
            <v>016-403-2611</v>
          </cell>
          <cell r="J182">
            <v>170</v>
          </cell>
          <cell r="K182">
            <v>63</v>
          </cell>
          <cell r="L182">
            <v>95</v>
          </cell>
        </row>
        <row r="183">
          <cell r="A183">
            <v>3</v>
          </cell>
          <cell r="B183" t="str">
            <v>노현수</v>
          </cell>
          <cell r="C183" t="str">
            <v>중앙대</v>
          </cell>
          <cell r="D183" t="str">
            <v>전기</v>
          </cell>
          <cell r="H183" t="str">
            <v>02-2246-0130</v>
          </cell>
          <cell r="I183" t="str">
            <v>019-326-0131</v>
          </cell>
          <cell r="J183">
            <v>172</v>
          </cell>
          <cell r="K183">
            <v>68</v>
          </cell>
          <cell r="L183">
            <v>100</v>
          </cell>
          <cell r="M183" t="str">
            <v>추가자</v>
          </cell>
        </row>
        <row r="184">
          <cell r="A184">
            <v>13</v>
          </cell>
          <cell r="B184" t="str">
            <v>김민수</v>
          </cell>
          <cell r="C184" t="str">
            <v>한양대</v>
          </cell>
          <cell r="D184" t="str">
            <v>전기</v>
          </cell>
          <cell r="E184" t="str">
            <v>한양대</v>
          </cell>
          <cell r="F184" t="str">
            <v>전기공학</v>
          </cell>
          <cell r="H184" t="str">
            <v>0345-418-2976</v>
          </cell>
          <cell r="I184" t="str">
            <v>019-264-3412</v>
          </cell>
          <cell r="J184">
            <v>168</v>
          </cell>
          <cell r="K184">
            <v>58</v>
          </cell>
          <cell r="L184">
            <v>95</v>
          </cell>
        </row>
        <row r="185">
          <cell r="A185">
            <v>1</v>
          </cell>
          <cell r="B185" t="str">
            <v>강봉수</v>
          </cell>
          <cell r="C185" t="str">
            <v>한양대</v>
          </cell>
          <cell r="D185" t="str">
            <v>전기</v>
          </cell>
          <cell r="H185" t="str">
            <v>0591-758-3428</v>
          </cell>
          <cell r="J185">
            <v>175</v>
          </cell>
          <cell r="K185">
            <v>65</v>
          </cell>
          <cell r="L185">
            <v>100</v>
          </cell>
        </row>
        <row r="186">
          <cell r="A186">
            <v>97</v>
          </cell>
          <cell r="B186" t="str">
            <v>왕석훈</v>
          </cell>
          <cell r="C186" t="str">
            <v>한양대</v>
          </cell>
          <cell r="D186" t="str">
            <v>전기</v>
          </cell>
          <cell r="H186" t="str">
            <v>02-445-5747</v>
          </cell>
          <cell r="I186" t="str">
            <v>018-203-5747</v>
          </cell>
          <cell r="J186">
            <v>175</v>
          </cell>
          <cell r="K186">
            <v>62</v>
          </cell>
          <cell r="L186">
            <v>100</v>
          </cell>
        </row>
        <row r="187">
          <cell r="A187">
            <v>10</v>
          </cell>
          <cell r="B187" t="str">
            <v>김구성</v>
          </cell>
          <cell r="C187" t="str">
            <v>한양대</v>
          </cell>
          <cell r="D187" t="str">
            <v>전기</v>
          </cell>
          <cell r="H187" t="str">
            <v>0346-521-9252</v>
          </cell>
          <cell r="I187" t="str">
            <v>017-710-0101</v>
          </cell>
          <cell r="J187">
            <v>176</v>
          </cell>
          <cell r="K187">
            <v>64</v>
          </cell>
          <cell r="L187">
            <v>105</v>
          </cell>
        </row>
        <row r="188">
          <cell r="A188">
            <v>144</v>
          </cell>
          <cell r="B188" t="str">
            <v>전대웅</v>
          </cell>
          <cell r="C188" t="str">
            <v>한양대</v>
          </cell>
          <cell r="D188" t="str">
            <v>전기</v>
          </cell>
          <cell r="H188" t="str">
            <v>02) 883-3824</v>
          </cell>
          <cell r="I188" t="str">
            <v>018-271-3824</v>
          </cell>
          <cell r="J188">
            <v>183</v>
          </cell>
          <cell r="K188">
            <v>75</v>
          </cell>
          <cell r="L188">
            <v>110</v>
          </cell>
        </row>
        <row r="189">
          <cell r="A189">
            <v>175</v>
          </cell>
          <cell r="B189" t="str">
            <v>최영식</v>
          </cell>
          <cell r="C189" t="str">
            <v>홍익대</v>
          </cell>
          <cell r="D189" t="str">
            <v>전기</v>
          </cell>
          <cell r="H189" t="str">
            <v>02-658-7468</v>
          </cell>
          <cell r="I189" t="str">
            <v>011-399-7468</v>
          </cell>
          <cell r="J189">
            <v>168</v>
          </cell>
          <cell r="K189">
            <v>61</v>
          </cell>
          <cell r="L189">
            <v>95</v>
          </cell>
        </row>
        <row r="190">
          <cell r="A190">
            <v>79</v>
          </cell>
          <cell r="B190" t="str">
            <v>심창보</v>
          </cell>
          <cell r="C190" t="str">
            <v>연세대</v>
          </cell>
          <cell r="D190" t="str">
            <v>전기</v>
          </cell>
          <cell r="H190" t="str">
            <v>02-320-2842</v>
          </cell>
          <cell r="I190" t="str">
            <v>019-373-9534</v>
          </cell>
          <cell r="J190">
            <v>178</v>
          </cell>
          <cell r="K190">
            <v>70</v>
          </cell>
          <cell r="L190">
            <v>105</v>
          </cell>
        </row>
        <row r="191">
          <cell r="A191">
            <v>9</v>
          </cell>
          <cell r="B191" t="str">
            <v>허경회</v>
          </cell>
          <cell r="C191" t="str">
            <v>연세대</v>
          </cell>
          <cell r="D191" t="str">
            <v>전기</v>
          </cell>
          <cell r="E191" t="str">
            <v>연세대</v>
          </cell>
          <cell r="F191" t="str">
            <v>전기공학</v>
          </cell>
          <cell r="H191" t="str">
            <v>02-913-4859</v>
          </cell>
          <cell r="I191" t="str">
            <v>015-8335-4859</v>
          </cell>
          <cell r="M191" t="str">
            <v>산학장학생</v>
          </cell>
        </row>
        <row r="192">
          <cell r="A192">
            <v>198</v>
          </cell>
          <cell r="B192" t="str">
            <v>양진우</v>
          </cell>
          <cell r="C192" t="str">
            <v>서울대</v>
          </cell>
          <cell r="D192" t="str">
            <v>전기전자제어</v>
          </cell>
          <cell r="E192" t="str">
            <v>서울대</v>
          </cell>
          <cell r="F192" t="str">
            <v>전기전자제어</v>
          </cell>
          <cell r="H192" t="str">
            <v>02-591-3887</v>
          </cell>
          <cell r="I192" t="str">
            <v>015-8390-5206</v>
          </cell>
          <cell r="J192">
            <v>175</v>
          </cell>
          <cell r="K192">
            <v>70</v>
          </cell>
          <cell r="L192">
            <v>100</v>
          </cell>
        </row>
        <row r="193">
          <cell r="A193">
            <v>54</v>
          </cell>
          <cell r="B193" t="str">
            <v>박용순</v>
          </cell>
          <cell r="C193" t="str">
            <v>서울시립대</v>
          </cell>
          <cell r="D193" t="str">
            <v>전기전자제어</v>
          </cell>
          <cell r="H193" t="str">
            <v>02-835-3684</v>
          </cell>
          <cell r="I193" t="str">
            <v>019-296-4297</v>
          </cell>
          <cell r="J193">
            <v>170</v>
          </cell>
          <cell r="K193">
            <v>60</v>
          </cell>
          <cell r="L193">
            <v>95</v>
          </cell>
        </row>
        <row r="194">
          <cell r="A194">
            <v>31</v>
          </cell>
          <cell r="B194" t="str">
            <v>김준수</v>
          </cell>
          <cell r="C194" t="str">
            <v>중앙대</v>
          </cell>
          <cell r="D194" t="str">
            <v>전기전자제어</v>
          </cell>
          <cell r="H194" t="str">
            <v>02-651-4214</v>
          </cell>
          <cell r="I194" t="str">
            <v>016-207-4214</v>
          </cell>
          <cell r="J194">
            <v>170</v>
          </cell>
          <cell r="K194">
            <v>64</v>
          </cell>
          <cell r="L194">
            <v>95</v>
          </cell>
        </row>
        <row r="195">
          <cell r="A195">
            <v>8</v>
          </cell>
          <cell r="B195" t="str">
            <v>고병국</v>
          </cell>
          <cell r="C195" t="str">
            <v>중앙대</v>
          </cell>
          <cell r="D195" t="str">
            <v>전기전자제어</v>
          </cell>
          <cell r="H195" t="str">
            <v>0591-752-2885</v>
          </cell>
          <cell r="I195" t="str">
            <v>017-314-7598</v>
          </cell>
          <cell r="J195">
            <v>171</v>
          </cell>
          <cell r="K195">
            <v>63</v>
          </cell>
          <cell r="L195">
            <v>100</v>
          </cell>
        </row>
        <row r="196">
          <cell r="A196">
            <v>170</v>
          </cell>
          <cell r="B196" t="str">
            <v>천완호</v>
          </cell>
          <cell r="C196" t="str">
            <v>중앙대</v>
          </cell>
          <cell r="D196" t="str">
            <v>전기전자제어</v>
          </cell>
          <cell r="H196" t="str">
            <v>0343-446-7953</v>
          </cell>
          <cell r="I196" t="str">
            <v>011-9756-7147</v>
          </cell>
          <cell r="J196">
            <v>174</v>
          </cell>
          <cell r="K196">
            <v>69</v>
          </cell>
          <cell r="L196">
            <v>100</v>
          </cell>
        </row>
        <row r="197">
          <cell r="A197">
            <v>184</v>
          </cell>
          <cell r="B197" t="str">
            <v>한형희</v>
          </cell>
          <cell r="C197" t="str">
            <v>중앙대</v>
          </cell>
          <cell r="D197" t="str">
            <v>전기전자제어</v>
          </cell>
          <cell r="H197" t="str">
            <v>02-2611-3880</v>
          </cell>
          <cell r="I197" t="str">
            <v>011-447-3880</v>
          </cell>
          <cell r="J197">
            <v>173</v>
          </cell>
          <cell r="K197">
            <v>66</v>
          </cell>
          <cell r="L197">
            <v>100</v>
          </cell>
        </row>
        <row r="198">
          <cell r="A198">
            <v>138</v>
          </cell>
          <cell r="B198" t="str">
            <v>임석현</v>
          </cell>
          <cell r="C198" t="str">
            <v>중앙대</v>
          </cell>
          <cell r="D198" t="str">
            <v>전기전자제어</v>
          </cell>
          <cell r="H198" t="str">
            <v>032-464-0879</v>
          </cell>
          <cell r="I198" t="str">
            <v>016-753-2834</v>
          </cell>
          <cell r="J198">
            <v>176</v>
          </cell>
          <cell r="K198">
            <v>71</v>
          </cell>
          <cell r="L198">
            <v>105</v>
          </cell>
        </row>
        <row r="199">
          <cell r="A199">
            <v>142</v>
          </cell>
          <cell r="B199" t="str">
            <v>장준원</v>
          </cell>
          <cell r="C199" t="str">
            <v>서강대</v>
          </cell>
          <cell r="D199" t="str">
            <v>전자계산</v>
          </cell>
          <cell r="E199" t="str">
            <v>서강대</v>
          </cell>
          <cell r="F199" t="str">
            <v>공학계열기타</v>
          </cell>
          <cell r="H199" t="str">
            <v>02-325-6591</v>
          </cell>
          <cell r="I199" t="str">
            <v>011-795-6598</v>
          </cell>
          <cell r="J199">
            <v>176</v>
          </cell>
          <cell r="K199">
            <v>88</v>
          </cell>
          <cell r="L199">
            <v>105</v>
          </cell>
        </row>
        <row r="200">
          <cell r="A200">
            <v>190</v>
          </cell>
          <cell r="B200" t="str">
            <v>황경태</v>
          </cell>
          <cell r="C200" t="str">
            <v>연세대</v>
          </cell>
          <cell r="D200" t="str">
            <v>전자공</v>
          </cell>
          <cell r="E200" t="str">
            <v>연세대</v>
          </cell>
          <cell r="F200" t="str">
            <v>전자공학</v>
          </cell>
          <cell r="H200" t="str">
            <v>02-420-8607</v>
          </cell>
          <cell r="I200" t="str">
            <v>011-725-8607</v>
          </cell>
          <cell r="J200">
            <v>168</v>
          </cell>
          <cell r="K200">
            <v>58</v>
          </cell>
          <cell r="L200">
            <v>95</v>
          </cell>
        </row>
        <row r="201">
          <cell r="A201">
            <v>67</v>
          </cell>
          <cell r="B201" t="str">
            <v>백승수</v>
          </cell>
          <cell r="C201" t="str">
            <v>한양대</v>
          </cell>
          <cell r="D201" t="str">
            <v>전자공</v>
          </cell>
          <cell r="E201" t="str">
            <v>한양대</v>
          </cell>
          <cell r="F201" t="str">
            <v>전자공학</v>
          </cell>
          <cell r="H201" t="str">
            <v>02-2299-9798</v>
          </cell>
          <cell r="I201" t="str">
            <v>011-9068-6190</v>
          </cell>
          <cell r="J201">
            <v>172</v>
          </cell>
          <cell r="K201">
            <v>56</v>
          </cell>
          <cell r="L201">
            <v>100</v>
          </cell>
        </row>
        <row r="202">
          <cell r="A202">
            <v>6</v>
          </cell>
          <cell r="B202" t="str">
            <v>강세환</v>
          </cell>
          <cell r="C202" t="str">
            <v>한양대</v>
          </cell>
          <cell r="D202" t="str">
            <v>전자공</v>
          </cell>
          <cell r="H202" t="str">
            <v>02-556-0787</v>
          </cell>
          <cell r="I202" t="str">
            <v>011-749-0787</v>
          </cell>
          <cell r="J202">
            <v>176</v>
          </cell>
          <cell r="K202">
            <v>69</v>
          </cell>
          <cell r="L202">
            <v>105</v>
          </cell>
        </row>
        <row r="203">
          <cell r="A203">
            <v>59</v>
          </cell>
          <cell r="B203" t="str">
            <v>박진표</v>
          </cell>
          <cell r="C203" t="str">
            <v>연세대</v>
          </cell>
          <cell r="D203" t="str">
            <v>전자공학</v>
          </cell>
          <cell r="H203" t="str">
            <v>02-442-6758</v>
          </cell>
          <cell r="I203" t="str">
            <v>019-351-6758</v>
          </cell>
          <cell r="J203">
            <v>179</v>
          </cell>
          <cell r="K203">
            <v>78</v>
          </cell>
          <cell r="L203">
            <v>105</v>
          </cell>
        </row>
        <row r="204">
          <cell r="A204">
            <v>34</v>
          </cell>
          <cell r="B204" t="str">
            <v>김태영</v>
          </cell>
          <cell r="C204" t="str">
            <v>한양대</v>
          </cell>
          <cell r="D204" t="str">
            <v>전자공학</v>
          </cell>
          <cell r="I204" t="str">
            <v>016-379-2326</v>
          </cell>
          <cell r="J204">
            <v>174</v>
          </cell>
          <cell r="K204">
            <v>70</v>
          </cell>
          <cell r="L204">
            <v>100</v>
          </cell>
        </row>
        <row r="205">
          <cell r="A205">
            <v>100</v>
          </cell>
          <cell r="B205" t="str">
            <v>유세종</v>
          </cell>
          <cell r="C205" t="str">
            <v>한양대</v>
          </cell>
          <cell r="D205" t="str">
            <v>전자공학</v>
          </cell>
          <cell r="H205" t="str">
            <v>02-712-8847</v>
          </cell>
          <cell r="I205" t="str">
            <v>011-233-8847</v>
          </cell>
          <cell r="J205">
            <v>173</v>
          </cell>
          <cell r="K205">
            <v>65</v>
          </cell>
          <cell r="L205">
            <v>100</v>
          </cell>
        </row>
        <row r="206">
          <cell r="A206">
            <v>83</v>
          </cell>
          <cell r="B206" t="str">
            <v>안태근</v>
          </cell>
          <cell r="C206" t="str">
            <v>성균관대</v>
          </cell>
          <cell r="D206" t="str">
            <v>정보통신공</v>
          </cell>
          <cell r="H206" t="str">
            <v>051-205-2923</v>
          </cell>
          <cell r="I206" t="str">
            <v>016-760-2923</v>
          </cell>
          <cell r="J206">
            <v>178</v>
          </cell>
          <cell r="K206">
            <v>75</v>
          </cell>
          <cell r="L206">
            <v>105</v>
          </cell>
        </row>
        <row r="207">
          <cell r="A207">
            <v>137</v>
          </cell>
          <cell r="B207" t="str">
            <v>이호석</v>
          </cell>
          <cell r="C207" t="str">
            <v>연세대</v>
          </cell>
          <cell r="D207" t="str">
            <v>정치외교</v>
          </cell>
          <cell r="H207" t="str">
            <v>0342-621-0632</v>
          </cell>
          <cell r="I207" t="str">
            <v>018-253-5353</v>
          </cell>
          <cell r="J207">
            <v>183</v>
          </cell>
          <cell r="K207">
            <v>75</v>
          </cell>
          <cell r="L207">
            <v>110</v>
          </cell>
        </row>
        <row r="208">
          <cell r="A208">
            <v>192</v>
          </cell>
          <cell r="B208" t="str">
            <v>황재용</v>
          </cell>
          <cell r="C208" t="str">
            <v>고려대</v>
          </cell>
          <cell r="D208" t="str">
            <v>제어계측</v>
          </cell>
          <cell r="H208" t="str">
            <v>017-348-3110</v>
          </cell>
          <cell r="I208" t="str">
            <v>017-348-3110</v>
          </cell>
          <cell r="J208">
            <v>173</v>
          </cell>
          <cell r="K208">
            <v>63</v>
          </cell>
          <cell r="L208">
            <v>100</v>
          </cell>
        </row>
        <row r="209">
          <cell r="A209">
            <v>3</v>
          </cell>
          <cell r="B209" t="str">
            <v>강석진</v>
          </cell>
          <cell r="C209" t="str">
            <v>북경문화대</v>
          </cell>
          <cell r="D209" t="str">
            <v>중국사상사</v>
          </cell>
          <cell r="H209" t="str">
            <v>0341-983-2372</v>
          </cell>
          <cell r="J209">
            <v>178</v>
          </cell>
          <cell r="K209">
            <v>75</v>
          </cell>
          <cell r="L209">
            <v>105</v>
          </cell>
        </row>
        <row r="210">
          <cell r="A210">
            <v>12</v>
          </cell>
          <cell r="B210" t="str">
            <v>김대길</v>
          </cell>
          <cell r="C210" t="str">
            <v>서울대</v>
          </cell>
          <cell r="D210" t="str">
            <v>지질(과)학</v>
          </cell>
          <cell r="H210" t="str">
            <v>842-5038</v>
          </cell>
          <cell r="I210" t="str">
            <v>016-298-5822</v>
          </cell>
          <cell r="J210">
            <v>172</v>
          </cell>
          <cell r="K210">
            <v>65</v>
          </cell>
          <cell r="L210">
            <v>100</v>
          </cell>
        </row>
        <row r="211">
          <cell r="A211">
            <v>64</v>
          </cell>
          <cell r="B211" t="str">
            <v>배승환</v>
          </cell>
          <cell r="C211" t="str">
            <v>서울대</v>
          </cell>
          <cell r="D211" t="str">
            <v>천연섬유학</v>
          </cell>
          <cell r="H211" t="str">
            <v>02-817-7461</v>
          </cell>
          <cell r="I211" t="str">
            <v>017-292-7461</v>
          </cell>
          <cell r="J211">
            <v>168</v>
          </cell>
          <cell r="K211">
            <v>62</v>
          </cell>
          <cell r="L211">
            <v>95</v>
          </cell>
        </row>
        <row r="212">
          <cell r="A212">
            <v>160</v>
          </cell>
          <cell r="B212" t="str">
            <v>조민호</v>
          </cell>
          <cell r="C212" t="str">
            <v>고려대</v>
          </cell>
          <cell r="D212" t="str">
            <v>컴퓨터</v>
          </cell>
          <cell r="H212" t="str">
            <v>02-987-9260</v>
          </cell>
          <cell r="I212" t="str">
            <v>017-563-1678</v>
          </cell>
          <cell r="J212">
            <v>175</v>
          </cell>
          <cell r="K212">
            <v>68</v>
          </cell>
          <cell r="L212">
            <v>100</v>
          </cell>
        </row>
        <row r="213">
          <cell r="A213">
            <v>2</v>
          </cell>
          <cell r="B213" t="str">
            <v>강석진</v>
          </cell>
          <cell r="C213" t="str">
            <v>단국대</v>
          </cell>
          <cell r="D213" t="str">
            <v>컴퓨터</v>
          </cell>
          <cell r="H213" t="str">
            <v>032-772-8833</v>
          </cell>
          <cell r="I213" t="str">
            <v>018-280-2976</v>
          </cell>
          <cell r="J213">
            <v>171</v>
          </cell>
          <cell r="K213">
            <v>62</v>
          </cell>
          <cell r="L213">
            <v>100</v>
          </cell>
        </row>
        <row r="214">
          <cell r="A214">
            <v>117</v>
          </cell>
          <cell r="B214" t="str">
            <v>이상훈</v>
          </cell>
          <cell r="C214" t="str">
            <v>남인디애나</v>
          </cell>
          <cell r="D214" t="str">
            <v>컴퓨터</v>
          </cell>
          <cell r="H214" t="str">
            <v>0343-397-6508</v>
          </cell>
          <cell r="I214" t="str">
            <v>011-323-2196</v>
          </cell>
          <cell r="J214">
            <v>172</v>
          </cell>
          <cell r="K214">
            <v>61</v>
          </cell>
          <cell r="L214">
            <v>100</v>
          </cell>
        </row>
        <row r="215">
          <cell r="A215">
            <v>72</v>
          </cell>
          <cell r="B215" t="str">
            <v>성홍석</v>
          </cell>
          <cell r="C215" t="str">
            <v>부산대</v>
          </cell>
          <cell r="D215" t="str">
            <v>행정</v>
          </cell>
          <cell r="H215" t="str">
            <v>051-255-1797</v>
          </cell>
          <cell r="I215" t="str">
            <v>019-599-1797</v>
          </cell>
          <cell r="J215">
            <v>172</v>
          </cell>
          <cell r="K215">
            <v>83</v>
          </cell>
          <cell r="L215">
            <v>100</v>
          </cell>
        </row>
        <row r="216">
          <cell r="A216">
            <v>89</v>
          </cell>
          <cell r="B216" t="str">
            <v>오경종</v>
          </cell>
          <cell r="C216" t="str">
            <v>고려대</v>
          </cell>
          <cell r="D216" t="str">
            <v>화공</v>
          </cell>
          <cell r="H216" t="str">
            <v>062-373-4655</v>
          </cell>
          <cell r="I216" t="str">
            <v>011-716-8979</v>
          </cell>
          <cell r="J216">
            <v>174</v>
          </cell>
          <cell r="K216">
            <v>62</v>
          </cell>
          <cell r="L216">
            <v>100</v>
          </cell>
        </row>
        <row r="217">
          <cell r="A217">
            <v>23</v>
          </cell>
          <cell r="B217" t="str">
            <v>김연준</v>
          </cell>
          <cell r="C217" t="str">
            <v>고려대</v>
          </cell>
          <cell r="D217" t="str">
            <v>화공</v>
          </cell>
          <cell r="H217" t="str">
            <v>02-821-4064</v>
          </cell>
          <cell r="I217" t="str">
            <v>017-221-4064</v>
          </cell>
          <cell r="J217">
            <v>176</v>
          </cell>
          <cell r="K217">
            <v>76</v>
          </cell>
          <cell r="L217">
            <v>105</v>
          </cell>
        </row>
        <row r="218">
          <cell r="A218">
            <v>52</v>
          </cell>
          <cell r="B218" t="str">
            <v>박수남</v>
          </cell>
          <cell r="C218" t="str">
            <v>고려대</v>
          </cell>
          <cell r="D218" t="str">
            <v>화공</v>
          </cell>
          <cell r="H218" t="str">
            <v>02-923-8714</v>
          </cell>
          <cell r="I218" t="str">
            <v>016-713-9366</v>
          </cell>
          <cell r="J218">
            <v>176</v>
          </cell>
          <cell r="K218">
            <v>66</v>
          </cell>
          <cell r="L218">
            <v>105</v>
          </cell>
        </row>
        <row r="219">
          <cell r="A219">
            <v>191</v>
          </cell>
          <cell r="B219" t="str">
            <v>황석민</v>
          </cell>
          <cell r="C219" t="str">
            <v>고려대</v>
          </cell>
          <cell r="D219" t="str">
            <v>화공</v>
          </cell>
          <cell r="H219" t="str">
            <v>02-921-9993</v>
          </cell>
          <cell r="I219" t="str">
            <v>019-567-9336</v>
          </cell>
          <cell r="J219">
            <v>175</v>
          </cell>
          <cell r="K219">
            <v>70</v>
          </cell>
          <cell r="L219">
            <v>110</v>
          </cell>
        </row>
        <row r="220">
          <cell r="A220">
            <v>104</v>
          </cell>
          <cell r="B220" t="str">
            <v>윤석주</v>
          </cell>
          <cell r="C220" t="str">
            <v>홍익대</v>
          </cell>
          <cell r="D220" t="str">
            <v>화공</v>
          </cell>
          <cell r="H220" t="str">
            <v>02-445-5861</v>
          </cell>
          <cell r="I220" t="str">
            <v>012-1885-5861</v>
          </cell>
          <cell r="J220">
            <v>188</v>
          </cell>
          <cell r="K220">
            <v>80</v>
          </cell>
          <cell r="L220">
            <v>110</v>
          </cell>
        </row>
        <row r="221">
          <cell r="A221">
            <v>37</v>
          </cell>
          <cell r="B221" t="str">
            <v>김희동</v>
          </cell>
          <cell r="C221" t="str">
            <v>고려대</v>
          </cell>
          <cell r="D221" t="str">
            <v>화공</v>
          </cell>
          <cell r="I221" t="str">
            <v>016-367-0035</v>
          </cell>
          <cell r="J221">
            <v>172</v>
          </cell>
          <cell r="K221">
            <v>66</v>
          </cell>
          <cell r="L221">
            <v>100</v>
          </cell>
        </row>
        <row r="222">
          <cell r="A222">
            <v>106</v>
          </cell>
          <cell r="B222" t="str">
            <v>윤영진</v>
          </cell>
          <cell r="C222" t="str">
            <v>서울대</v>
          </cell>
          <cell r="D222" t="str">
            <v>화공</v>
          </cell>
          <cell r="H222" t="str">
            <v>02-749-4457</v>
          </cell>
          <cell r="I222" t="str">
            <v>011-9766-4550</v>
          </cell>
          <cell r="J222">
            <v>180</v>
          </cell>
          <cell r="K222">
            <v>98</v>
          </cell>
          <cell r="L222">
            <v>105</v>
          </cell>
        </row>
        <row r="223">
          <cell r="A223">
            <v>161</v>
          </cell>
          <cell r="B223" t="str">
            <v>조봉관</v>
          </cell>
          <cell r="C223" t="str">
            <v>고려대</v>
          </cell>
          <cell r="D223" t="str">
            <v>화학</v>
          </cell>
          <cell r="E223" t="str">
            <v>고려대</v>
          </cell>
          <cell r="F223" t="str">
            <v>화학</v>
          </cell>
          <cell r="H223" t="str">
            <v>02-711-9428</v>
          </cell>
          <cell r="I223" t="str">
            <v>011-9001-9428</v>
          </cell>
          <cell r="J223">
            <v>176</v>
          </cell>
          <cell r="K223">
            <v>75</v>
          </cell>
          <cell r="L223">
            <v>105</v>
          </cell>
        </row>
        <row r="224">
          <cell r="A224">
            <v>164</v>
          </cell>
          <cell r="B224" t="str">
            <v>조정인</v>
          </cell>
          <cell r="C224" t="str">
            <v>고려대</v>
          </cell>
          <cell r="D224" t="str">
            <v>화학</v>
          </cell>
          <cell r="H224" t="str">
            <v>02-588-3019</v>
          </cell>
          <cell r="I224" t="str">
            <v>019-297-7002</v>
          </cell>
          <cell r="J224">
            <v>182.5</v>
          </cell>
          <cell r="K224">
            <v>77</v>
          </cell>
          <cell r="L224">
            <v>110</v>
          </cell>
        </row>
        <row r="225">
          <cell r="A225">
            <v>196</v>
          </cell>
          <cell r="B225" t="str">
            <v>최형진</v>
          </cell>
          <cell r="C225" t="str">
            <v>서울대</v>
          </cell>
          <cell r="D225" t="str">
            <v>화학</v>
          </cell>
          <cell r="E225" t="str">
            <v>서울대</v>
          </cell>
          <cell r="F225" t="str">
            <v>화학</v>
          </cell>
          <cell r="H225" t="str">
            <v>02-2634-1327</v>
          </cell>
          <cell r="I225" t="str">
            <v>017-769-1327</v>
          </cell>
          <cell r="J225">
            <v>173</v>
          </cell>
          <cell r="K225">
            <v>63</v>
          </cell>
          <cell r="L225">
            <v>100</v>
          </cell>
        </row>
        <row r="226">
          <cell r="A226">
            <v>8</v>
          </cell>
          <cell r="B226" t="str">
            <v>지상수</v>
          </cell>
          <cell r="C226" t="str">
            <v>연세대</v>
          </cell>
          <cell r="D226" t="str">
            <v>화학</v>
          </cell>
          <cell r="E226" t="str">
            <v>연세대</v>
          </cell>
          <cell r="F226" t="str">
            <v>화학</v>
          </cell>
          <cell r="H226" t="str">
            <v>02-922-3722</v>
          </cell>
          <cell r="I226" t="str">
            <v>017-227-3722</v>
          </cell>
          <cell r="M226" t="str">
            <v>산학장학생</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p;C"/>
      <sheetName val="고합"/>
      <sheetName val="교수설계"/>
      <sheetName val="진천"/>
      <sheetName val="진급예상년"/>
      <sheetName val="재공품"/>
      <sheetName val="1-12월"/>
      <sheetName val="판매추이"/>
      <sheetName val="Code"/>
      <sheetName val="타사비교(13년)"/>
      <sheetName val="외화금융(97-03)"/>
      <sheetName val="샘플_생관"/>
      <sheetName val="Macro"/>
      <sheetName val="220 (2)"/>
      <sheetName val="Macro1"/>
      <sheetName val="버튼"/>
      <sheetName val="손익분석"/>
      <sheetName val="구동"/>
      <sheetName val="본사5급"/>
      <sheetName val="표지"/>
      <sheetName val="자료"/>
      <sheetName val="JUYO"/>
      <sheetName val="대구"/>
      <sheetName val="Sheet1"/>
      <sheetName val="11월판가"/>
      <sheetName val="04고객별 담당자"/>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p;C"/>
      <sheetName val="고합"/>
      <sheetName val="타사비교(13년)"/>
      <sheetName val="교수설계"/>
      <sheetName val="판매추이"/>
      <sheetName val="급여"/>
      <sheetName val="마감분석"/>
      <sheetName val="업체별재고금액"/>
      <sheetName val="요약"/>
      <sheetName val="월정GR"/>
      <sheetName val="년봉GR"/>
      <sheetName val="월정(직급)"/>
      <sheetName val="연봉(직급)"/>
      <sheetName val="월정(근속)"/>
      <sheetName val="연봉(근속)"/>
      <sheetName val="현금,예금명세"/>
      <sheetName val="비용"/>
      <sheetName val="손익총괄"/>
      <sheetName val="Macro1"/>
      <sheetName val="1급갑"/>
      <sheetName val="창원계획"/>
      <sheetName val="TNC(1안)"/>
      <sheetName val="JUYO"/>
      <sheetName val="Base"/>
      <sheetName val="샘플_생관"/>
      <sheetName val="재공품"/>
      <sheetName val="TNC"/>
      <sheetName val="▶판매관련"/>
      <sheetName val="▶제조"/>
      <sheetName val="진천"/>
      <sheetName val="220 (2)"/>
      <sheetName val="기간직대비"/>
      <sheetName val="버튼"/>
      <sheetName val="진급예상년"/>
      <sheetName val="생산량"/>
      <sheetName val="근속가(후)"/>
      <sheetName val="중연"/>
      <sheetName val="11월판가"/>
      <sheetName val="태광"/>
      <sheetName val="2-2.매출분석"/>
      <sheetName val="구미2월"/>
      <sheetName val="안양2월"/>
      <sheetName val="이사회1"/>
      <sheetName val="SCord"/>
      <sheetName val="용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급갑"/>
      <sheetName val="인상안"/>
      <sheetName val="인건비 실적"/>
      <sheetName val="T&amp;C"/>
    </sheetNames>
    <sheetDataSet>
      <sheetData sheetId="0">
        <row r="2">
          <cell r="B2">
            <v>3</v>
          </cell>
        </row>
        <row r="6">
          <cell r="B6" t="str">
            <v xml:space="preserve">現    行   </v>
          </cell>
        </row>
        <row r="7">
          <cell r="B7" t="str">
            <v>金  額</v>
          </cell>
        </row>
        <row r="8">
          <cell r="B8" t="str">
            <v>(A)</v>
          </cell>
        </row>
        <row r="9">
          <cell r="B9">
            <v>2012</v>
          </cell>
        </row>
        <row r="10">
          <cell r="B10">
            <v>2003</v>
          </cell>
        </row>
        <row r="11">
          <cell r="B11">
            <v>1994</v>
          </cell>
        </row>
        <row r="12">
          <cell r="B12">
            <v>1985</v>
          </cell>
        </row>
        <row r="13">
          <cell r="B13">
            <v>1976</v>
          </cell>
        </row>
        <row r="14">
          <cell r="B14">
            <v>1967</v>
          </cell>
        </row>
        <row r="15">
          <cell r="B15">
            <v>1958</v>
          </cell>
        </row>
        <row r="16">
          <cell r="B16">
            <v>1949</v>
          </cell>
        </row>
        <row r="17">
          <cell r="B17">
            <v>1940</v>
          </cell>
        </row>
        <row r="18">
          <cell r="B18">
            <v>1931</v>
          </cell>
        </row>
        <row r="19">
          <cell r="B19">
            <v>1922</v>
          </cell>
        </row>
        <row r="20">
          <cell r="B20">
            <v>1913</v>
          </cell>
        </row>
        <row r="21">
          <cell r="B21">
            <v>1904</v>
          </cell>
        </row>
        <row r="22">
          <cell r="B22">
            <v>1895</v>
          </cell>
        </row>
        <row r="23">
          <cell r="B23">
            <v>1885</v>
          </cell>
        </row>
        <row r="24">
          <cell r="B24">
            <v>1875</v>
          </cell>
        </row>
        <row r="25">
          <cell r="B25">
            <v>1865</v>
          </cell>
        </row>
        <row r="26">
          <cell r="B26">
            <v>1855</v>
          </cell>
        </row>
        <row r="27">
          <cell r="B27">
            <v>1845</v>
          </cell>
        </row>
        <row r="28">
          <cell r="B28">
            <v>1835</v>
          </cell>
        </row>
        <row r="44">
          <cell r="B44" t="str">
            <v>計</v>
          </cell>
        </row>
        <row r="47">
          <cell r="B47" t="str">
            <v>현행금액</v>
          </cell>
        </row>
        <row r="49">
          <cell r="B49" t="str">
            <v>근속수당 포함시 인상률(월정급비)</v>
          </cell>
        </row>
        <row r="50">
          <cell r="B50">
            <v>30</v>
          </cell>
        </row>
        <row r="51">
          <cell r="B51" t="str">
            <v>배우자수당 포함시 인상률(월정급비)</v>
          </cell>
        </row>
        <row r="52">
          <cell r="B52">
            <v>30</v>
          </cell>
        </row>
        <row r="53">
          <cell r="B53" t="str">
            <v>자녀수당 포함시 인상률(월정급비)</v>
          </cell>
        </row>
        <row r="55">
          <cell r="B55" t="str">
            <v>기타수당 포함시 인상률(월정급비)</v>
          </cell>
        </row>
      </sheetData>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사비교(13년)"/>
      <sheetName val="Chart3"/>
      <sheetName val="년차별 승급액 현황"/>
      <sheetName val="년차별(기본급)"/>
      <sheetName val="년차별(통상임금)"/>
      <sheetName val="년차별(총액임금)"/>
      <sheetName val="HICO9912"/>
      <sheetName val="HICO9912(750%)"/>
      <sheetName val="위아9912"/>
      <sheetName val="한국중9912"/>
      <sheetName val="대우중9912"/>
      <sheetName val="현대정공9912"/>
      <sheetName val="쌍용중9912"/>
      <sheetName val="대림자9912"/>
      <sheetName val="창원특9912"/>
      <sheetName val="풍성전기9912"/>
      <sheetName val="통일중9912"/>
      <sheetName val="두산기계9912"/>
      <sheetName val="한국철강9912"/>
      <sheetName val="효성기계9912"/>
      <sheetName val="LG전자"/>
      <sheetName val="99년 타결동향"/>
      <sheetName val="T&amp;C"/>
      <sheetName val="1급갑"/>
      <sheetName val="J-2이하"/>
      <sheetName val="Ctrl"/>
      <sheetName val="고합"/>
      <sheetName val="4월"/>
      <sheetName val="주메뉴"/>
      <sheetName val="Macro1"/>
      <sheetName val="손익총괄"/>
      <sheetName val="매출"/>
      <sheetName val="구미2월"/>
      <sheetName val="안양2월"/>
      <sheetName val="버튼"/>
      <sheetName val="판매추이"/>
      <sheetName val="11월판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formation"/>
      <sheetName val="탄소배출량 계산근거자료 23년"/>
      <sheetName val="탄소배출량 계산근거자료 2024년"/>
      <sheetName val="Summary"/>
      <sheetName val="Management"/>
      <sheetName val="Emissions"/>
      <sheetName val="Factory"/>
      <sheetName val="Water"/>
      <sheetName val="Product"/>
      <sheetName val="Hybrid"/>
      <sheetName val="Reduction"/>
      <sheetName val="Ref)EEIO"/>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formation"/>
      <sheetName val="Summary"/>
      <sheetName val="C1a"/>
      <sheetName val="C1b"/>
      <sheetName val="C1c"/>
      <sheetName val="C1d"/>
      <sheetName val="C2a"/>
      <sheetName val="C2b"/>
      <sheetName val="C2c"/>
      <sheetName val="C2d"/>
      <sheetName val="C2e"/>
      <sheetName val="C2f"/>
      <sheetName val="C3a"/>
      <sheetName val="C3b"/>
      <sheetName val="C3c"/>
      <sheetName val="Selection"/>
      <sheetName val="Seclection_EEIO"/>
    </sheetNames>
    <sheetDataSet>
      <sheetData sheetId="0"/>
      <sheetData sheetId="1"/>
      <sheetData sheetId="2"/>
      <sheetData sheetId="3"/>
      <sheetData sheetId="4">
        <row r="7">
          <cell r="C7" t="str">
            <v>UPM</v>
          </cell>
        </row>
        <row r="8">
          <cell r="C8" t="str">
            <v>LGM</v>
          </cell>
        </row>
        <row r="9">
          <cell r="C9" t="str">
            <v>SGM</v>
          </cell>
        </row>
        <row r="10">
          <cell r="C10" t="str">
            <v>UME</v>
          </cell>
        </row>
      </sheetData>
      <sheetData sheetId="5">
        <row r="9">
          <cell r="C9" t="str">
            <v>Q SEPHAROSE FAST FLOW</v>
          </cell>
        </row>
        <row r="10">
          <cell r="C10" t="str">
            <v>SP SEPHAROSE FAST FLOW</v>
          </cell>
        </row>
        <row r="11">
          <cell r="C11" t="str">
            <v>PHENYL SEPHAROSE 6 FF (HS)</v>
          </cell>
        </row>
        <row r="12">
          <cell r="C12" t="str">
            <v>BUTYL SEPHAROSE 4 FF</v>
          </cell>
        </row>
        <row r="13">
          <cell r="C13" t="str">
            <v>Capto adhere ImpRes</v>
          </cell>
        </row>
        <row r="14">
          <cell r="C14" t="str">
            <v>Capto MMC ImpRes</v>
          </cell>
        </row>
        <row r="15">
          <cell r="C15" t="str">
            <v>Capto S ImpAct</v>
          </cell>
        </row>
        <row r="16">
          <cell r="C16" t="str">
            <v>MABSELECT</v>
          </cell>
        </row>
        <row r="17">
          <cell r="C17" t="str">
            <v>CAPTO Q</v>
          </cell>
        </row>
        <row r="18">
          <cell r="C18" t="str">
            <v>CAPTO MMC</v>
          </cell>
        </row>
        <row r="19">
          <cell r="C19" t="str">
            <v>MABSELECT SURE</v>
          </cell>
        </row>
        <row r="20">
          <cell r="C20" t="str">
            <v xml:space="preserve">Capto adhere </v>
          </cell>
        </row>
        <row r="21">
          <cell r="C21" t="str">
            <v>Capto Q ImpRes</v>
          </cell>
        </row>
        <row r="22">
          <cell r="C22" t="str">
            <v>MabSelect SuRe LX</v>
          </cell>
        </row>
        <row r="23">
          <cell r="C23" t="str">
            <v>Capto Phenyl ImpRes</v>
          </cell>
        </row>
        <row r="24">
          <cell r="C24" t="str">
            <v>MabSelect PrismA</v>
          </cell>
        </row>
        <row r="25">
          <cell r="C25" t="str">
            <v>CM SEPHAROSE FAST FLOW</v>
          </cell>
        </row>
        <row r="26">
          <cell r="C26" t="str">
            <v>BLUE SEPHAROSE 6 FAST FLOW</v>
          </cell>
        </row>
        <row r="27">
          <cell r="C27" t="str">
            <v>CAPTO S</v>
          </cell>
        </row>
        <row r="28">
          <cell r="C28" t="str">
            <v>Capto Phenyl high sub</v>
          </cell>
        </row>
        <row r="29">
          <cell r="C29" t="str">
            <v>Capto Butyl</v>
          </cell>
        </row>
        <row r="30">
          <cell r="C30" t="str">
            <v>Capto SP ImpRes</v>
          </cell>
        </row>
        <row r="31">
          <cell r="C31" t="str">
            <v>RTP Q Sepharose Fast Flow</v>
          </cell>
        </row>
        <row r="33">
          <cell r="C33" t="str">
            <v>DPM- SFM4CHO W/O L-GLUTAMINE</v>
          </cell>
        </row>
        <row r="34">
          <cell r="C34" t="str">
            <v>DPM HyClone(TM) ActiCHO(TM) P - ADCF</v>
          </cell>
        </row>
        <row r="35">
          <cell r="C35" t="str">
            <v>DPM HyClone(TM) Cell Boost(TM) 7a - ADCF</v>
          </cell>
        </row>
        <row r="36">
          <cell r="C36" t="str">
            <v>DPM HyClone(TM) Cell Boost(TM) 7b - ADCF</v>
          </cell>
        </row>
        <row r="37">
          <cell r="C37" t="str">
            <v>DPM-CM5605-F2, CUSTOM MADE FOR ELEVATION ONCOLOGY</v>
          </cell>
        </row>
        <row r="38">
          <cell r="C38" t="str">
            <v>DPM-PS320-F2 w/ 1g/L Poloxamer 188, CUSTOM MADE FOR ELEVATION ONCOLOGY</v>
          </cell>
        </row>
        <row r="39">
          <cell r="C39" t="str">
            <v>DPM-PS320-F3 Powder 1 w/ 1g/L Poloxamer 188, CUSTOM MADE FOR ELEVATION ONCOLOGY</v>
          </cell>
        </row>
        <row r="40">
          <cell r="C40" t="str">
            <v>DPM-PS320-F3 Powder 2, CUSTOM MADE FOR ELEVATION ONCOLOGY</v>
          </cell>
        </row>
        <row r="41">
          <cell r="C41" t="str">
            <v>DPM- T-104 Medium, CUSTOM MADE FOR GENENTECH</v>
          </cell>
        </row>
        <row r="42">
          <cell r="C42" t="str">
            <v>DPM- T-100 Medium, CUSTOM MADE FOR GENENTECH</v>
          </cell>
        </row>
        <row r="43">
          <cell r="C43" t="str">
            <v>DPM- T-204 Medium, CUSTOM MADE FOR GENENTECH</v>
          </cell>
        </row>
        <row r="44">
          <cell r="C44" t="str">
            <v>DPM-FPCHO-1, CUSTOM MADE FOR MEDIMMUNE</v>
          </cell>
        </row>
        <row r="45">
          <cell r="C45" t="str">
            <v>DPM-DMNSO-7, CUSTOM MADE FOR MEDIMMUNE</v>
          </cell>
        </row>
        <row r="46">
          <cell r="C46" t="str">
            <v>DPM-CCM-B1, CUSTOM MADE FOR MEDIMMUNE</v>
          </cell>
        </row>
        <row r="47">
          <cell r="C47" t="str">
            <v>LM-33.3% ADCF Antifoam Solution, Irradiated, CUSTOM MADE FOR GSK</v>
          </cell>
        </row>
        <row r="48">
          <cell r="C48" t="str">
            <v>DPM-IM-006 Powder, CUSTOM MADE FOR IMMUNOMEDICS</v>
          </cell>
        </row>
        <row r="49">
          <cell r="C49" t="str">
            <v>DPM-IMF-005 Powder, CUSTOM MADE FOR IMMUNOMEDICS</v>
          </cell>
        </row>
        <row r="50">
          <cell r="C50" t="str">
            <v>DPM- HyClone CDM4PERMAb Powder without L-Glutamine</v>
          </cell>
        </row>
        <row r="51">
          <cell r="C51" t="str">
            <v>DPM- CDM4PERMAb Feed Supplement, CUSTOM MADE FOR DSM BIOLOGICS</v>
          </cell>
        </row>
        <row r="52">
          <cell r="C52" t="str">
            <v>DPM- 20x DME/F12 Modified Base Powder, MERCK</v>
          </cell>
        </row>
        <row r="54">
          <cell r="C54" t="str">
            <v>DPM HyClone(TM) Cell Boost(TM) 7a - ADCF</v>
          </cell>
        </row>
        <row r="55">
          <cell r="C55" t="str">
            <v>DPM HyClone(TM) Cell Boost(TM) 7b - ADCF</v>
          </cell>
        </row>
        <row r="56">
          <cell r="C56" t="str">
            <v>DPM HyClone(TM) ActiPro(TM) - ADCF</v>
          </cell>
        </row>
        <row r="57">
          <cell r="C57" t="str">
            <v>DPM CHOKO18 SM Complete Powder, Custom Made for Sartorius - ADCF</v>
          </cell>
        </row>
        <row r="58">
          <cell r="C58" t="str">
            <v>DPM-CDM4MAB W/O GLUT</v>
          </cell>
        </row>
        <row r="59">
          <cell r="C59" t="str">
            <v>DPM-CELL BOOST 5 (CN-F) W/O LGLUTAMINE</v>
          </cell>
        </row>
      </sheetData>
      <sheetData sheetId="6"/>
      <sheetData sheetId="7"/>
      <sheetData sheetId="8"/>
      <sheetData sheetId="9"/>
      <sheetData sheetId="10"/>
      <sheetData sheetId="11"/>
      <sheetData sheetId="12"/>
      <sheetData sheetId="13"/>
      <sheetData sheetId="14"/>
      <sheetData sheetId="15"/>
      <sheetData sheetId="16">
        <row r="569">
          <cell r="B569" t="str">
            <v>Reduce Logistics Emissions: Integrated Logistics</v>
          </cell>
        </row>
        <row r="570">
          <cell r="B570" t="str">
            <v>Reduce logistics emissions: transportation changes</v>
          </cell>
        </row>
        <row r="571">
          <cell r="B571" t="str">
            <v>Reduce logistics emissions: route optimization</v>
          </cell>
        </row>
        <row r="572">
          <cell r="B572" t="str">
            <v>Reduce logistics emissions: process optimization</v>
          </cell>
        </row>
        <row r="573">
          <cell r="B573" t="str">
            <v>Product Change: Packaging Weight Reduction</v>
          </cell>
        </row>
        <row r="574">
          <cell r="B574" t="str">
            <v>Product change: Reduce product production emissions</v>
          </cell>
        </row>
        <row r="575">
          <cell r="B575" t="str">
            <v>Product change: Reduce emissions when used</v>
          </cell>
        </row>
        <row r="576">
          <cell r="B576" t="str">
            <v>Product changes: Reduce product material emissions</v>
          </cell>
        </row>
        <row r="577">
          <cell r="B577" t="str">
            <v>Carbon Strategy: Product Carbon footprint</v>
          </cell>
        </row>
        <row r="578">
          <cell r="B578" t="str">
            <v>Carbon strategy: Participation in climate initiatives (RE100, SBT, etc.)</v>
          </cell>
        </row>
        <row r="579">
          <cell r="B579" t="str">
            <v>Carbon Strategy: Establishing and coordinating climate goals and strategies</v>
          </cell>
        </row>
        <row r="580">
          <cell r="B580" t="str">
            <v>Energy Management: Energy Saving Business</v>
          </cell>
        </row>
        <row r="581">
          <cell r="B581" t="str">
            <v>Energy Management: Renewable Energy Transition</v>
          </cell>
        </row>
        <row r="582">
          <cell r="B582" t="str">
            <v>Others (Describe on the Description section)</v>
          </cell>
        </row>
        <row r="583">
          <cell r="B583" t="str">
            <v>Scope 1</v>
          </cell>
        </row>
        <row r="584">
          <cell r="B584" t="str">
            <v>Scope 2</v>
          </cell>
        </row>
        <row r="585">
          <cell r="B585" t="str">
            <v>Scope 1, 2</v>
          </cell>
        </row>
        <row r="586">
          <cell r="B586" t="str">
            <v>Scope 3</v>
          </cell>
        </row>
        <row r="587">
          <cell r="B587" t="str">
            <v>Scope 1,2,3</v>
          </cell>
        </row>
        <row r="588">
          <cell r="B588" t="str">
            <v>Cradle to grave</v>
          </cell>
        </row>
        <row r="589">
          <cell r="B589" t="str">
            <v>Cradle to gate</v>
          </cell>
        </row>
        <row r="590">
          <cell r="B590" t="str">
            <v>Gate to gate(Describe on the Description section)</v>
          </cell>
        </row>
        <row r="591">
          <cell r="B591" t="str">
            <v>Yes</v>
          </cell>
        </row>
        <row r="592">
          <cell r="B592" t="str">
            <v>No, self-declaration</v>
          </cell>
        </row>
        <row r="593">
          <cell r="B593" t="str">
            <v>No, under planning</v>
          </cell>
        </row>
      </sheetData>
      <sheetData sheetId="17"/>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tkim@samhwadang.co.kr"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tips.energy.or.kr/popup/toe.do"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tips.energy.or.kr/popup/toe.do"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showGridLines="0" tabSelected="1" zoomScaleNormal="100" workbookViewId="0">
      <selection activeCell="B55" sqref="B55"/>
    </sheetView>
  </sheetViews>
  <sheetFormatPr defaultColWidth="9" defaultRowHeight="16.5"/>
  <cols>
    <col min="1" max="1" width="12.125" style="244" customWidth="1"/>
    <col min="2" max="5" width="18.375" style="244" customWidth="1"/>
    <col min="6" max="6" width="26.875" style="244" customWidth="1"/>
    <col min="7" max="7" width="7.875" style="244" customWidth="1"/>
    <col min="8" max="8" width="9" style="244"/>
    <col min="9" max="14" width="17.625" style="244" customWidth="1"/>
    <col min="15" max="16384" width="9" style="244"/>
  </cols>
  <sheetData>
    <row r="1" spans="1:15" ht="45">
      <c r="A1" s="243" t="s">
        <v>1266</v>
      </c>
    </row>
    <row r="3" spans="1:15">
      <c r="A3" s="245" t="s">
        <v>1267</v>
      </c>
      <c r="B3" s="53"/>
      <c r="C3" s="53"/>
      <c r="D3" s="53"/>
      <c r="E3" s="53"/>
      <c r="F3" s="53"/>
      <c r="G3" s="53"/>
    </row>
    <row r="4" spans="1:15" ht="14.25" customHeight="1">
      <c r="A4" s="246" t="s">
        <v>1268</v>
      </c>
      <c r="B4" s="247"/>
      <c r="C4" s="247"/>
      <c r="D4" s="247"/>
      <c r="E4" s="247"/>
      <c r="F4" s="247"/>
      <c r="G4" s="247"/>
      <c r="I4" s="248"/>
      <c r="J4" s="249"/>
      <c r="K4" s="249"/>
      <c r="L4" s="249"/>
      <c r="M4" s="249"/>
      <c r="N4" s="249"/>
      <c r="O4" s="249"/>
    </row>
    <row r="5" spans="1:15" ht="20.25" customHeight="1">
      <c r="A5" s="247"/>
      <c r="B5" s="247"/>
      <c r="C5" s="247"/>
      <c r="D5" s="247"/>
      <c r="E5" s="247"/>
      <c r="F5" s="247"/>
      <c r="G5" s="247"/>
      <c r="I5" s="249"/>
      <c r="J5" s="249"/>
      <c r="K5" s="249"/>
      <c r="L5" s="249"/>
      <c r="M5" s="249"/>
      <c r="N5" s="249"/>
      <c r="O5" s="249"/>
    </row>
    <row r="6" spans="1:15" ht="23.25" customHeight="1">
      <c r="A6" s="246" t="s">
        <v>1269</v>
      </c>
      <c r="B6" s="247"/>
      <c r="C6" s="247"/>
      <c r="D6" s="247"/>
      <c r="E6" s="247"/>
      <c r="F6" s="247"/>
      <c r="G6" s="247"/>
      <c r="I6" s="248"/>
      <c r="J6" s="249"/>
      <c r="K6" s="249"/>
      <c r="L6" s="249"/>
      <c r="M6" s="249"/>
      <c r="N6" s="249"/>
      <c r="O6" s="249"/>
    </row>
    <row r="7" spans="1:15" ht="23.25" customHeight="1">
      <c r="A7" s="246"/>
      <c r="B7" s="247"/>
      <c r="C7" s="247"/>
      <c r="D7" s="247"/>
      <c r="E7" s="247"/>
      <c r="F7" s="247"/>
      <c r="G7" s="247"/>
      <c r="I7" s="248"/>
      <c r="J7" s="249"/>
      <c r="K7" s="249"/>
      <c r="L7" s="249"/>
      <c r="M7" s="249"/>
      <c r="N7" s="249"/>
      <c r="O7" s="249"/>
    </row>
    <row r="8" spans="1:15" ht="15" customHeight="1">
      <c r="A8" s="247"/>
      <c r="B8" s="247"/>
      <c r="C8" s="247"/>
      <c r="D8" s="247"/>
      <c r="E8" s="247"/>
      <c r="F8" s="247"/>
      <c r="G8" s="247"/>
      <c r="I8" s="249"/>
      <c r="J8" s="249"/>
      <c r="K8" s="249"/>
      <c r="L8" s="249"/>
      <c r="M8" s="249"/>
      <c r="N8" s="249"/>
      <c r="O8" s="249"/>
    </row>
    <row r="9" spans="1:15" ht="14.25" customHeight="1">
      <c r="A9" s="246" t="s">
        <v>1270</v>
      </c>
      <c r="B9" s="247"/>
      <c r="C9" s="247"/>
      <c r="D9" s="247"/>
      <c r="E9" s="247"/>
      <c r="F9" s="247"/>
      <c r="G9" s="247"/>
      <c r="I9" s="249"/>
      <c r="J9" s="249"/>
      <c r="K9" s="249"/>
      <c r="L9" s="249"/>
      <c r="M9" s="249"/>
      <c r="N9" s="249"/>
      <c r="O9" s="249"/>
    </row>
    <row r="10" spans="1:15">
      <c r="A10" s="247"/>
      <c r="B10" s="247"/>
      <c r="C10" s="247"/>
      <c r="D10" s="247"/>
      <c r="E10" s="247"/>
      <c r="F10" s="247"/>
      <c r="G10" s="247"/>
      <c r="I10" s="249"/>
      <c r="J10" s="249"/>
      <c r="K10" s="249"/>
      <c r="L10" s="249"/>
      <c r="M10" s="249"/>
      <c r="N10" s="249"/>
      <c r="O10" s="249"/>
    </row>
    <row r="12" spans="1:15">
      <c r="A12" s="250" t="s">
        <v>1271</v>
      </c>
    </row>
    <row r="13" spans="1:15">
      <c r="A13" s="251" t="s">
        <v>1272</v>
      </c>
      <c r="B13" s="251"/>
      <c r="C13" s="251"/>
      <c r="D13" s="251"/>
      <c r="E13" s="251"/>
      <c r="F13" s="251"/>
      <c r="G13" s="251"/>
    </row>
    <row r="14" spans="1:15" ht="21" customHeight="1">
      <c r="A14" s="251"/>
      <c r="B14" s="251"/>
      <c r="C14" s="251"/>
      <c r="D14" s="251"/>
      <c r="E14" s="251"/>
      <c r="F14" s="251"/>
      <c r="G14" s="251"/>
    </row>
    <row r="15" spans="1:15">
      <c r="A15" s="252" t="s">
        <v>1273</v>
      </c>
      <c r="B15" s="252"/>
      <c r="C15" s="252"/>
      <c r="D15" s="252"/>
      <c r="E15" s="252"/>
      <c r="F15" s="252"/>
      <c r="G15" s="252"/>
    </row>
    <row r="16" spans="1:15">
      <c r="A16" s="252"/>
      <c r="B16" s="252"/>
      <c r="C16" s="252"/>
      <c r="D16" s="252"/>
      <c r="E16" s="252"/>
      <c r="F16" s="252"/>
      <c r="G16" s="252"/>
    </row>
    <row r="17" spans="1:7">
      <c r="A17" s="252"/>
      <c r="B17" s="252"/>
      <c r="C17" s="252"/>
      <c r="D17" s="252"/>
      <c r="E17" s="252"/>
      <c r="F17" s="252"/>
      <c r="G17" s="252"/>
    </row>
    <row r="18" spans="1:7">
      <c r="A18" s="253"/>
      <c r="B18" s="253"/>
      <c r="C18" s="253"/>
      <c r="D18" s="253"/>
      <c r="E18" s="253"/>
      <c r="F18" s="253"/>
      <c r="G18" s="253"/>
    </row>
    <row r="19" spans="1:7">
      <c r="A19" s="254"/>
      <c r="B19" s="254"/>
      <c r="C19" s="254"/>
      <c r="D19" s="254"/>
      <c r="E19" s="254"/>
      <c r="F19" s="254"/>
      <c r="G19" s="254"/>
    </row>
    <row r="20" spans="1:7">
      <c r="A20" s="254"/>
      <c r="B20" s="254"/>
      <c r="C20" s="254"/>
      <c r="D20" s="254"/>
      <c r="E20" s="254"/>
      <c r="F20" s="254"/>
      <c r="G20" s="254"/>
    </row>
    <row r="21" spans="1:7">
      <c r="A21" s="254"/>
      <c r="B21" s="254"/>
      <c r="C21" s="254"/>
      <c r="D21" s="254"/>
      <c r="E21" s="254"/>
      <c r="F21" s="254"/>
      <c r="G21" s="254"/>
    </row>
    <row r="22" spans="1:7">
      <c r="A22" s="254"/>
      <c r="B22" s="254"/>
      <c r="C22" s="254"/>
      <c r="D22" s="254"/>
      <c r="E22" s="254"/>
      <c r="F22" s="254"/>
      <c r="G22" s="254"/>
    </row>
    <row r="23" spans="1:7">
      <c r="A23" s="254"/>
      <c r="B23" s="254"/>
      <c r="C23" s="254"/>
      <c r="D23" s="254"/>
      <c r="E23" s="254"/>
      <c r="F23" s="254"/>
      <c r="G23" s="254"/>
    </row>
    <row r="24" spans="1:7">
      <c r="A24" s="254"/>
      <c r="B24" s="254"/>
      <c r="C24" s="254"/>
      <c r="D24" s="254"/>
      <c r="E24" s="254"/>
      <c r="F24" s="254"/>
      <c r="G24" s="254"/>
    </row>
    <row r="25" spans="1:7">
      <c r="A25" s="254"/>
      <c r="B25" s="254"/>
      <c r="C25" s="254"/>
      <c r="D25" s="254"/>
      <c r="E25" s="254"/>
      <c r="F25" s="254"/>
      <c r="G25" s="254"/>
    </row>
    <row r="26" spans="1:7">
      <c r="A26" s="254"/>
      <c r="B26" s="254"/>
      <c r="C26" s="254"/>
      <c r="D26" s="254"/>
      <c r="E26" s="254"/>
      <c r="F26" s="254"/>
      <c r="G26" s="254"/>
    </row>
    <row r="27" spans="1:7">
      <c r="A27" s="254"/>
      <c r="B27" s="254"/>
      <c r="C27" s="254"/>
      <c r="D27" s="254"/>
      <c r="E27" s="254"/>
      <c r="F27" s="254"/>
      <c r="G27" s="254"/>
    </row>
    <row r="28" spans="1:7">
      <c r="A28" s="254"/>
      <c r="B28" s="254"/>
      <c r="C28" s="254"/>
      <c r="D28" s="254"/>
      <c r="E28" s="254"/>
      <c r="F28" s="254"/>
      <c r="G28" s="254"/>
    </row>
    <row r="29" spans="1:7">
      <c r="A29" s="254"/>
      <c r="B29" s="254"/>
      <c r="C29" s="254"/>
      <c r="D29" s="254"/>
      <c r="E29" s="254"/>
      <c r="F29" s="254"/>
      <c r="G29" s="254"/>
    </row>
    <row r="30" spans="1:7">
      <c r="A30" s="254"/>
      <c r="B30" s="254"/>
      <c r="C30" s="254"/>
      <c r="D30" s="254"/>
      <c r="E30" s="254"/>
      <c r="F30" s="254"/>
      <c r="G30" s="254"/>
    </row>
    <row r="31" spans="1:7">
      <c r="A31" s="254"/>
      <c r="B31" s="254"/>
      <c r="C31" s="254"/>
      <c r="D31" s="254"/>
      <c r="E31" s="254"/>
      <c r="F31" s="254"/>
      <c r="G31" s="254"/>
    </row>
    <row r="32" spans="1:7">
      <c r="A32" s="254"/>
      <c r="B32" s="254"/>
      <c r="C32" s="254"/>
      <c r="D32" s="254"/>
      <c r="E32" s="254"/>
      <c r="F32" s="254"/>
      <c r="G32" s="254"/>
    </row>
    <row r="33" spans="1:7">
      <c r="A33" s="254"/>
      <c r="B33" s="254"/>
      <c r="C33" s="254"/>
      <c r="D33" s="254"/>
      <c r="E33" s="254"/>
      <c r="F33" s="254"/>
      <c r="G33" s="254"/>
    </row>
    <row r="34" spans="1:7" ht="17.25" thickBot="1">
      <c r="A34" s="254"/>
      <c r="B34" s="254"/>
      <c r="C34" s="254"/>
      <c r="D34" s="254"/>
      <c r="E34" s="254"/>
      <c r="F34" s="254"/>
      <c r="G34" s="254"/>
    </row>
    <row r="35" spans="1:7" s="258" customFormat="1" ht="22.5" customHeight="1">
      <c r="A35" s="255" t="s">
        <v>1274</v>
      </c>
      <c r="B35" s="256"/>
      <c r="C35" s="256"/>
      <c r="D35" s="256"/>
      <c r="E35" s="256"/>
      <c r="F35" s="256"/>
      <c r="G35" s="257"/>
    </row>
    <row r="36" spans="1:7" ht="15.75" customHeight="1">
      <c r="A36" s="259" t="s">
        <v>1275</v>
      </c>
      <c r="B36" s="260"/>
      <c r="C36" s="260"/>
      <c r="D36" s="260"/>
      <c r="E36" s="260"/>
      <c r="F36" s="260"/>
      <c r="G36" s="261"/>
    </row>
    <row r="37" spans="1:7" ht="15.75" customHeight="1">
      <c r="A37" s="259" t="s">
        <v>1276</v>
      </c>
      <c r="B37" s="260"/>
      <c r="C37" s="260"/>
      <c r="D37" s="260"/>
      <c r="E37" s="260"/>
      <c r="F37" s="260"/>
      <c r="G37" s="261"/>
    </row>
    <row r="38" spans="1:7" ht="15.75" customHeight="1">
      <c r="A38" s="259" t="s">
        <v>1277</v>
      </c>
      <c r="B38" s="260"/>
      <c r="C38" s="260"/>
      <c r="D38" s="260"/>
      <c r="E38" s="260"/>
      <c r="F38" s="260"/>
      <c r="G38" s="261"/>
    </row>
    <row r="39" spans="1:7" ht="15.75" customHeight="1">
      <c r="A39" s="259" t="s">
        <v>1278</v>
      </c>
      <c r="B39" s="260"/>
      <c r="C39" s="260"/>
      <c r="D39" s="260"/>
      <c r="E39" s="260"/>
      <c r="F39" s="260"/>
      <c r="G39" s="261"/>
    </row>
    <row r="40" spans="1:7" ht="15.75" customHeight="1">
      <c r="A40" s="262" t="s">
        <v>1279</v>
      </c>
      <c r="B40" s="260"/>
      <c r="C40" s="260"/>
      <c r="D40" s="260"/>
      <c r="E40" s="260"/>
      <c r="F40" s="260"/>
      <c r="G40" s="261"/>
    </row>
    <row r="41" spans="1:7" ht="21.75" customHeight="1" thickBot="1">
      <c r="A41" s="263" t="s">
        <v>1280</v>
      </c>
      <c r="B41" s="264"/>
      <c r="C41" s="264"/>
      <c r="D41" s="264"/>
      <c r="E41" s="264"/>
      <c r="F41" s="264"/>
      <c r="G41" s="265"/>
    </row>
    <row r="42" spans="1:7" ht="13.5" customHeight="1">
      <c r="A42" s="266" t="s">
        <v>1281</v>
      </c>
      <c r="B42" s="266"/>
      <c r="C42" s="266"/>
      <c r="D42" s="266"/>
      <c r="E42" s="266"/>
      <c r="F42" s="266"/>
      <c r="G42" s="266"/>
    </row>
    <row r="43" spans="1:7">
      <c r="A43" s="266"/>
      <c r="B43" s="266"/>
      <c r="C43" s="266"/>
      <c r="D43" s="266"/>
      <c r="E43" s="266"/>
      <c r="F43" s="266"/>
      <c r="G43" s="266"/>
    </row>
    <row r="44" spans="1:7">
      <c r="A44" s="266"/>
      <c r="B44" s="266"/>
      <c r="C44" s="266"/>
      <c r="D44" s="266"/>
      <c r="E44" s="266"/>
      <c r="F44" s="266"/>
      <c r="G44" s="266"/>
    </row>
    <row r="46" spans="1:7">
      <c r="A46" s="267"/>
      <c r="B46" s="267"/>
      <c r="C46" s="267"/>
      <c r="D46" s="267"/>
      <c r="E46" s="267"/>
      <c r="F46" s="267"/>
      <c r="G46" s="267"/>
    </row>
    <row r="47" spans="1:7" ht="17.25" thickBot="1"/>
    <row r="48" spans="1:7" ht="17.25">
      <c r="B48" s="268" t="s">
        <v>1282</v>
      </c>
      <c r="C48" s="269" t="s">
        <v>1283</v>
      </c>
      <c r="D48" s="270"/>
      <c r="E48" s="270"/>
      <c r="F48" s="271"/>
    </row>
    <row r="49" spans="1:7" ht="17.25">
      <c r="B49" s="272" t="s">
        <v>1284</v>
      </c>
      <c r="C49" s="273" t="s">
        <v>1285</v>
      </c>
      <c r="D49" s="274"/>
      <c r="E49" s="274"/>
      <c r="F49" s="275"/>
      <c r="G49" s="276"/>
    </row>
    <row r="50" spans="1:7" ht="17.25">
      <c r="B50" s="272" t="s">
        <v>1286</v>
      </c>
      <c r="C50" s="273" t="s">
        <v>1287</v>
      </c>
      <c r="D50" s="274"/>
      <c r="E50" s="274"/>
      <c r="F50" s="275"/>
      <c r="G50" s="276"/>
    </row>
    <row r="51" spans="1:7" ht="17.25">
      <c r="B51" s="277" t="s">
        <v>1288</v>
      </c>
      <c r="C51" s="278" t="s">
        <v>1289</v>
      </c>
      <c r="D51" s="279" t="s">
        <v>1290</v>
      </c>
      <c r="E51" s="278" t="s">
        <v>1291</v>
      </c>
      <c r="F51" s="280" t="s">
        <v>1292</v>
      </c>
    </row>
    <row r="52" spans="1:7" ht="18" thickBot="1">
      <c r="B52" s="281"/>
      <c r="C52" s="282" t="s">
        <v>1293</v>
      </c>
      <c r="D52" s="283" t="s">
        <v>1294</v>
      </c>
      <c r="E52" s="282" t="s">
        <v>1295</v>
      </c>
      <c r="F52" s="284" t="s">
        <v>1296</v>
      </c>
    </row>
    <row r="54" spans="1:7" ht="33.75">
      <c r="A54" s="285">
        <v>2025.1</v>
      </c>
      <c r="B54" s="285"/>
      <c r="C54" s="285"/>
      <c r="D54" s="285"/>
      <c r="E54" s="285"/>
      <c r="F54" s="285"/>
      <c r="G54" s="285"/>
    </row>
    <row r="56" spans="1:7" ht="38.25">
      <c r="D56" s="286" t="s">
        <v>1297</v>
      </c>
    </row>
  </sheetData>
  <mergeCells count="11">
    <mergeCell ref="A13:G14"/>
    <mergeCell ref="A15:G17"/>
    <mergeCell ref="A42:G44"/>
    <mergeCell ref="B51:B52"/>
    <mergeCell ref="A54:G54"/>
    <mergeCell ref="A4:G5"/>
    <mergeCell ref="I4:O5"/>
    <mergeCell ref="A6:G8"/>
    <mergeCell ref="I6:O8"/>
    <mergeCell ref="A9:G10"/>
    <mergeCell ref="I9:O10"/>
  </mergeCells>
  <phoneticPr fontId="2" type="noConversion"/>
  <hyperlinks>
    <hyperlink ref="F52" r:id="rId1"/>
  </hyperlinks>
  <pageMargins left="0.7" right="0.7" top="0.75" bottom="0.75" header="0.3" footer="0.3"/>
  <pageSetup paperSize="9" scale="81"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5"/>
  <sheetViews>
    <sheetView view="pageBreakPreview" zoomScaleNormal="100" zoomScaleSheetLayoutView="100" workbookViewId="0">
      <selection activeCell="F17" sqref="F17"/>
    </sheetView>
  </sheetViews>
  <sheetFormatPr defaultColWidth="4.375" defaultRowHeight="11.25"/>
  <cols>
    <col min="1" max="1" width="4.375" style="156" customWidth="1"/>
    <col min="2" max="2" width="6.875" style="156" customWidth="1"/>
    <col min="3" max="3" width="7.25" style="156" customWidth="1"/>
    <col min="4" max="4" width="7.75" style="156" customWidth="1"/>
    <col min="5" max="11" width="4.375" style="156" customWidth="1"/>
    <col min="12" max="12" width="4.5" style="156" customWidth="1"/>
    <col min="13" max="25" width="4.375" style="156" customWidth="1"/>
    <col min="26" max="26" width="14.5" style="156" customWidth="1"/>
    <col min="27" max="263" width="4.375" style="156"/>
    <col min="264" max="264" width="6" style="156" customWidth="1"/>
    <col min="265" max="265" width="6.125" style="156" customWidth="1"/>
    <col min="266" max="266" width="4.375" style="156"/>
    <col min="267" max="267" width="4.5" style="156" customWidth="1"/>
    <col min="268" max="281" width="4.375" style="156"/>
    <col min="282" max="282" width="14.5" style="156" customWidth="1"/>
    <col min="283" max="519" width="4.375" style="156"/>
    <col min="520" max="520" width="6" style="156" customWidth="1"/>
    <col min="521" max="521" width="6.125" style="156" customWidth="1"/>
    <col min="522" max="522" width="4.375" style="156"/>
    <col min="523" max="523" width="4.5" style="156" customWidth="1"/>
    <col min="524" max="537" width="4.375" style="156"/>
    <col min="538" max="538" width="14.5" style="156" customWidth="1"/>
    <col min="539" max="775" width="4.375" style="156"/>
    <col min="776" max="776" width="6" style="156" customWidth="1"/>
    <col min="777" max="777" width="6.125" style="156" customWidth="1"/>
    <col min="778" max="778" width="4.375" style="156"/>
    <col min="779" max="779" width="4.5" style="156" customWidth="1"/>
    <col min="780" max="793" width="4.375" style="156"/>
    <col min="794" max="794" width="14.5" style="156" customWidth="1"/>
    <col min="795" max="1031" width="4.375" style="156"/>
    <col min="1032" max="1032" width="6" style="156" customWidth="1"/>
    <col min="1033" max="1033" width="6.125" style="156" customWidth="1"/>
    <col min="1034" max="1034" width="4.375" style="156"/>
    <col min="1035" max="1035" width="4.5" style="156" customWidth="1"/>
    <col min="1036" max="1049" width="4.375" style="156"/>
    <col min="1050" max="1050" width="14.5" style="156" customWidth="1"/>
    <col min="1051" max="1287" width="4.375" style="156"/>
    <col min="1288" max="1288" width="6" style="156" customWidth="1"/>
    <col min="1289" max="1289" width="6.125" style="156" customWidth="1"/>
    <col min="1290" max="1290" width="4.375" style="156"/>
    <col min="1291" max="1291" width="4.5" style="156" customWidth="1"/>
    <col min="1292" max="1305" width="4.375" style="156"/>
    <col min="1306" max="1306" width="14.5" style="156" customWidth="1"/>
    <col min="1307" max="1543" width="4.375" style="156"/>
    <col min="1544" max="1544" width="6" style="156" customWidth="1"/>
    <col min="1545" max="1545" width="6.125" style="156" customWidth="1"/>
    <col min="1546" max="1546" width="4.375" style="156"/>
    <col min="1547" max="1547" width="4.5" style="156" customWidth="1"/>
    <col min="1548" max="1561" width="4.375" style="156"/>
    <col min="1562" max="1562" width="14.5" style="156" customWidth="1"/>
    <col min="1563" max="1799" width="4.375" style="156"/>
    <col min="1800" max="1800" width="6" style="156" customWidth="1"/>
    <col min="1801" max="1801" width="6.125" style="156" customWidth="1"/>
    <col min="1802" max="1802" width="4.375" style="156"/>
    <col min="1803" max="1803" width="4.5" style="156" customWidth="1"/>
    <col min="1804" max="1817" width="4.375" style="156"/>
    <col min="1818" max="1818" width="14.5" style="156" customWidth="1"/>
    <col min="1819" max="2055" width="4.375" style="156"/>
    <col min="2056" max="2056" width="6" style="156" customWidth="1"/>
    <col min="2057" max="2057" width="6.125" style="156" customWidth="1"/>
    <col min="2058" max="2058" width="4.375" style="156"/>
    <col min="2059" max="2059" width="4.5" style="156" customWidth="1"/>
    <col min="2060" max="2073" width="4.375" style="156"/>
    <col min="2074" max="2074" width="14.5" style="156" customWidth="1"/>
    <col min="2075" max="2311" width="4.375" style="156"/>
    <col min="2312" max="2312" width="6" style="156" customWidth="1"/>
    <col min="2313" max="2313" width="6.125" style="156" customWidth="1"/>
    <col min="2314" max="2314" width="4.375" style="156"/>
    <col min="2315" max="2315" width="4.5" style="156" customWidth="1"/>
    <col min="2316" max="2329" width="4.375" style="156"/>
    <col min="2330" max="2330" width="14.5" style="156" customWidth="1"/>
    <col min="2331" max="2567" width="4.375" style="156"/>
    <col min="2568" max="2568" width="6" style="156" customWidth="1"/>
    <col min="2569" max="2569" width="6.125" style="156" customWidth="1"/>
    <col min="2570" max="2570" width="4.375" style="156"/>
    <col min="2571" max="2571" width="4.5" style="156" customWidth="1"/>
    <col min="2572" max="2585" width="4.375" style="156"/>
    <col min="2586" max="2586" width="14.5" style="156" customWidth="1"/>
    <col min="2587" max="2823" width="4.375" style="156"/>
    <col min="2824" max="2824" width="6" style="156" customWidth="1"/>
    <col min="2825" max="2825" width="6.125" style="156" customWidth="1"/>
    <col min="2826" max="2826" width="4.375" style="156"/>
    <col min="2827" max="2827" width="4.5" style="156" customWidth="1"/>
    <col min="2828" max="2841" width="4.375" style="156"/>
    <col min="2842" max="2842" width="14.5" style="156" customWidth="1"/>
    <col min="2843" max="3079" width="4.375" style="156"/>
    <col min="3080" max="3080" width="6" style="156" customWidth="1"/>
    <col min="3081" max="3081" width="6.125" style="156" customWidth="1"/>
    <col min="3082" max="3082" width="4.375" style="156"/>
    <col min="3083" max="3083" width="4.5" style="156" customWidth="1"/>
    <col min="3084" max="3097" width="4.375" style="156"/>
    <col min="3098" max="3098" width="14.5" style="156" customWidth="1"/>
    <col min="3099" max="3335" width="4.375" style="156"/>
    <col min="3336" max="3336" width="6" style="156" customWidth="1"/>
    <col min="3337" max="3337" width="6.125" style="156" customWidth="1"/>
    <col min="3338" max="3338" width="4.375" style="156"/>
    <col min="3339" max="3339" width="4.5" style="156" customWidth="1"/>
    <col min="3340" max="3353" width="4.375" style="156"/>
    <col min="3354" max="3354" width="14.5" style="156" customWidth="1"/>
    <col min="3355" max="3591" width="4.375" style="156"/>
    <col min="3592" max="3592" width="6" style="156" customWidth="1"/>
    <col min="3593" max="3593" width="6.125" style="156" customWidth="1"/>
    <col min="3594" max="3594" width="4.375" style="156"/>
    <col min="3595" max="3595" width="4.5" style="156" customWidth="1"/>
    <col min="3596" max="3609" width="4.375" style="156"/>
    <col min="3610" max="3610" width="14.5" style="156" customWidth="1"/>
    <col min="3611" max="3847" width="4.375" style="156"/>
    <col min="3848" max="3848" width="6" style="156" customWidth="1"/>
    <col min="3849" max="3849" width="6.125" style="156" customWidth="1"/>
    <col min="3850" max="3850" width="4.375" style="156"/>
    <col min="3851" max="3851" width="4.5" style="156" customWidth="1"/>
    <col min="3852" max="3865" width="4.375" style="156"/>
    <col min="3866" max="3866" width="14.5" style="156" customWidth="1"/>
    <col min="3867" max="4103" width="4.375" style="156"/>
    <col min="4104" max="4104" width="6" style="156" customWidth="1"/>
    <col min="4105" max="4105" width="6.125" style="156" customWidth="1"/>
    <col min="4106" max="4106" width="4.375" style="156"/>
    <col min="4107" max="4107" width="4.5" style="156" customWidth="1"/>
    <col min="4108" max="4121" width="4.375" style="156"/>
    <col min="4122" max="4122" width="14.5" style="156" customWidth="1"/>
    <col min="4123" max="4359" width="4.375" style="156"/>
    <col min="4360" max="4360" width="6" style="156" customWidth="1"/>
    <col min="4361" max="4361" width="6.125" style="156" customWidth="1"/>
    <col min="4362" max="4362" width="4.375" style="156"/>
    <col min="4363" max="4363" width="4.5" style="156" customWidth="1"/>
    <col min="4364" max="4377" width="4.375" style="156"/>
    <col min="4378" max="4378" width="14.5" style="156" customWidth="1"/>
    <col min="4379" max="4615" width="4.375" style="156"/>
    <col min="4616" max="4616" width="6" style="156" customWidth="1"/>
    <col min="4617" max="4617" width="6.125" style="156" customWidth="1"/>
    <col min="4618" max="4618" width="4.375" style="156"/>
    <col min="4619" max="4619" width="4.5" style="156" customWidth="1"/>
    <col min="4620" max="4633" width="4.375" style="156"/>
    <col min="4634" max="4634" width="14.5" style="156" customWidth="1"/>
    <col min="4635" max="4871" width="4.375" style="156"/>
    <col min="4872" max="4872" width="6" style="156" customWidth="1"/>
    <col min="4873" max="4873" width="6.125" style="156" customWidth="1"/>
    <col min="4874" max="4874" width="4.375" style="156"/>
    <col min="4875" max="4875" width="4.5" style="156" customWidth="1"/>
    <col min="4876" max="4889" width="4.375" style="156"/>
    <col min="4890" max="4890" width="14.5" style="156" customWidth="1"/>
    <col min="4891" max="5127" width="4.375" style="156"/>
    <col min="5128" max="5128" width="6" style="156" customWidth="1"/>
    <col min="5129" max="5129" width="6.125" style="156" customWidth="1"/>
    <col min="5130" max="5130" width="4.375" style="156"/>
    <col min="5131" max="5131" width="4.5" style="156" customWidth="1"/>
    <col min="5132" max="5145" width="4.375" style="156"/>
    <col min="5146" max="5146" width="14.5" style="156" customWidth="1"/>
    <col min="5147" max="5383" width="4.375" style="156"/>
    <col min="5384" max="5384" width="6" style="156" customWidth="1"/>
    <col min="5385" max="5385" width="6.125" style="156" customWidth="1"/>
    <col min="5386" max="5386" width="4.375" style="156"/>
    <col min="5387" max="5387" width="4.5" style="156" customWidth="1"/>
    <col min="5388" max="5401" width="4.375" style="156"/>
    <col min="5402" max="5402" width="14.5" style="156" customWidth="1"/>
    <col min="5403" max="5639" width="4.375" style="156"/>
    <col min="5640" max="5640" width="6" style="156" customWidth="1"/>
    <col min="5641" max="5641" width="6.125" style="156" customWidth="1"/>
    <col min="5642" max="5642" width="4.375" style="156"/>
    <col min="5643" max="5643" width="4.5" style="156" customWidth="1"/>
    <col min="5644" max="5657" width="4.375" style="156"/>
    <col min="5658" max="5658" width="14.5" style="156" customWidth="1"/>
    <col min="5659" max="5895" width="4.375" style="156"/>
    <col min="5896" max="5896" width="6" style="156" customWidth="1"/>
    <col min="5897" max="5897" width="6.125" style="156" customWidth="1"/>
    <col min="5898" max="5898" width="4.375" style="156"/>
    <col min="5899" max="5899" width="4.5" style="156" customWidth="1"/>
    <col min="5900" max="5913" width="4.375" style="156"/>
    <col min="5914" max="5914" width="14.5" style="156" customWidth="1"/>
    <col min="5915" max="6151" width="4.375" style="156"/>
    <col min="6152" max="6152" width="6" style="156" customWidth="1"/>
    <col min="6153" max="6153" width="6.125" style="156" customWidth="1"/>
    <col min="6154" max="6154" width="4.375" style="156"/>
    <col min="6155" max="6155" width="4.5" style="156" customWidth="1"/>
    <col min="6156" max="6169" width="4.375" style="156"/>
    <col min="6170" max="6170" width="14.5" style="156" customWidth="1"/>
    <col min="6171" max="6407" width="4.375" style="156"/>
    <col min="6408" max="6408" width="6" style="156" customWidth="1"/>
    <col min="6409" max="6409" width="6.125" style="156" customWidth="1"/>
    <col min="6410" max="6410" width="4.375" style="156"/>
    <col min="6411" max="6411" width="4.5" style="156" customWidth="1"/>
    <col min="6412" max="6425" width="4.375" style="156"/>
    <col min="6426" max="6426" width="14.5" style="156" customWidth="1"/>
    <col min="6427" max="6663" width="4.375" style="156"/>
    <col min="6664" max="6664" width="6" style="156" customWidth="1"/>
    <col min="6665" max="6665" width="6.125" style="156" customWidth="1"/>
    <col min="6666" max="6666" width="4.375" style="156"/>
    <col min="6667" max="6667" width="4.5" style="156" customWidth="1"/>
    <col min="6668" max="6681" width="4.375" style="156"/>
    <col min="6682" max="6682" width="14.5" style="156" customWidth="1"/>
    <col min="6683" max="6919" width="4.375" style="156"/>
    <col min="6920" max="6920" width="6" style="156" customWidth="1"/>
    <col min="6921" max="6921" width="6.125" style="156" customWidth="1"/>
    <col min="6922" max="6922" width="4.375" style="156"/>
    <col min="6923" max="6923" width="4.5" style="156" customWidth="1"/>
    <col min="6924" max="6937" width="4.375" style="156"/>
    <col min="6938" max="6938" width="14.5" style="156" customWidth="1"/>
    <col min="6939" max="7175" width="4.375" style="156"/>
    <col min="7176" max="7176" width="6" style="156" customWidth="1"/>
    <col min="7177" max="7177" width="6.125" style="156" customWidth="1"/>
    <col min="7178" max="7178" width="4.375" style="156"/>
    <col min="7179" max="7179" width="4.5" style="156" customWidth="1"/>
    <col min="7180" max="7193" width="4.375" style="156"/>
    <col min="7194" max="7194" width="14.5" style="156" customWidth="1"/>
    <col min="7195" max="7431" width="4.375" style="156"/>
    <col min="7432" max="7432" width="6" style="156" customWidth="1"/>
    <col min="7433" max="7433" width="6.125" style="156" customWidth="1"/>
    <col min="7434" max="7434" width="4.375" style="156"/>
    <col min="7435" max="7435" width="4.5" style="156" customWidth="1"/>
    <col min="7436" max="7449" width="4.375" style="156"/>
    <col min="7450" max="7450" width="14.5" style="156" customWidth="1"/>
    <col min="7451" max="7687" width="4.375" style="156"/>
    <col min="7688" max="7688" width="6" style="156" customWidth="1"/>
    <col min="7689" max="7689" width="6.125" style="156" customWidth="1"/>
    <col min="7690" max="7690" width="4.375" style="156"/>
    <col min="7691" max="7691" width="4.5" style="156" customWidth="1"/>
    <col min="7692" max="7705" width="4.375" style="156"/>
    <col min="7706" max="7706" width="14.5" style="156" customWidth="1"/>
    <col min="7707" max="7943" width="4.375" style="156"/>
    <col min="7944" max="7944" width="6" style="156" customWidth="1"/>
    <col min="7945" max="7945" width="6.125" style="156" customWidth="1"/>
    <col min="7946" max="7946" width="4.375" style="156"/>
    <col min="7947" max="7947" width="4.5" style="156" customWidth="1"/>
    <col min="7948" max="7961" width="4.375" style="156"/>
    <col min="7962" max="7962" width="14.5" style="156" customWidth="1"/>
    <col min="7963" max="8199" width="4.375" style="156"/>
    <col min="8200" max="8200" width="6" style="156" customWidth="1"/>
    <col min="8201" max="8201" width="6.125" style="156" customWidth="1"/>
    <col min="8202" max="8202" width="4.375" style="156"/>
    <col min="8203" max="8203" width="4.5" style="156" customWidth="1"/>
    <col min="8204" max="8217" width="4.375" style="156"/>
    <col min="8218" max="8218" width="14.5" style="156" customWidth="1"/>
    <col min="8219" max="8455" width="4.375" style="156"/>
    <col min="8456" max="8456" width="6" style="156" customWidth="1"/>
    <col min="8457" max="8457" width="6.125" style="156" customWidth="1"/>
    <col min="8458" max="8458" width="4.375" style="156"/>
    <col min="8459" max="8459" width="4.5" style="156" customWidth="1"/>
    <col min="8460" max="8473" width="4.375" style="156"/>
    <col min="8474" max="8474" width="14.5" style="156" customWidth="1"/>
    <col min="8475" max="8711" width="4.375" style="156"/>
    <col min="8712" max="8712" width="6" style="156" customWidth="1"/>
    <col min="8713" max="8713" width="6.125" style="156" customWidth="1"/>
    <col min="8714" max="8714" width="4.375" style="156"/>
    <col min="8715" max="8715" width="4.5" style="156" customWidth="1"/>
    <col min="8716" max="8729" width="4.375" style="156"/>
    <col min="8730" max="8730" width="14.5" style="156" customWidth="1"/>
    <col min="8731" max="8967" width="4.375" style="156"/>
    <col min="8968" max="8968" width="6" style="156" customWidth="1"/>
    <col min="8969" max="8969" width="6.125" style="156" customWidth="1"/>
    <col min="8970" max="8970" width="4.375" style="156"/>
    <col min="8971" max="8971" width="4.5" style="156" customWidth="1"/>
    <col min="8972" max="8985" width="4.375" style="156"/>
    <col min="8986" max="8986" width="14.5" style="156" customWidth="1"/>
    <col min="8987" max="9223" width="4.375" style="156"/>
    <col min="9224" max="9224" width="6" style="156" customWidth="1"/>
    <col min="9225" max="9225" width="6.125" style="156" customWidth="1"/>
    <col min="9226" max="9226" width="4.375" style="156"/>
    <col min="9227" max="9227" width="4.5" style="156" customWidth="1"/>
    <col min="9228" max="9241" width="4.375" style="156"/>
    <col min="9242" max="9242" width="14.5" style="156" customWidth="1"/>
    <col min="9243" max="9479" width="4.375" style="156"/>
    <col min="9480" max="9480" width="6" style="156" customWidth="1"/>
    <col min="9481" max="9481" width="6.125" style="156" customWidth="1"/>
    <col min="9482" max="9482" width="4.375" style="156"/>
    <col min="9483" max="9483" width="4.5" style="156" customWidth="1"/>
    <col min="9484" max="9497" width="4.375" style="156"/>
    <col min="9498" max="9498" width="14.5" style="156" customWidth="1"/>
    <col min="9499" max="9735" width="4.375" style="156"/>
    <col min="9736" max="9736" width="6" style="156" customWidth="1"/>
    <col min="9737" max="9737" width="6.125" style="156" customWidth="1"/>
    <col min="9738" max="9738" width="4.375" style="156"/>
    <col min="9739" max="9739" width="4.5" style="156" customWidth="1"/>
    <col min="9740" max="9753" width="4.375" style="156"/>
    <col min="9754" max="9754" width="14.5" style="156" customWidth="1"/>
    <col min="9755" max="9991" width="4.375" style="156"/>
    <col min="9992" max="9992" width="6" style="156" customWidth="1"/>
    <col min="9993" max="9993" width="6.125" style="156" customWidth="1"/>
    <col min="9994" max="9994" width="4.375" style="156"/>
    <col min="9995" max="9995" width="4.5" style="156" customWidth="1"/>
    <col min="9996" max="10009" width="4.375" style="156"/>
    <col min="10010" max="10010" width="14.5" style="156" customWidth="1"/>
    <col min="10011" max="10247" width="4.375" style="156"/>
    <col min="10248" max="10248" width="6" style="156" customWidth="1"/>
    <col min="10249" max="10249" width="6.125" style="156" customWidth="1"/>
    <col min="10250" max="10250" width="4.375" style="156"/>
    <col min="10251" max="10251" width="4.5" style="156" customWidth="1"/>
    <col min="10252" max="10265" width="4.375" style="156"/>
    <col min="10266" max="10266" width="14.5" style="156" customWidth="1"/>
    <col min="10267" max="10503" width="4.375" style="156"/>
    <col min="10504" max="10504" width="6" style="156" customWidth="1"/>
    <col min="10505" max="10505" width="6.125" style="156" customWidth="1"/>
    <col min="10506" max="10506" width="4.375" style="156"/>
    <col min="10507" max="10507" width="4.5" style="156" customWidth="1"/>
    <col min="10508" max="10521" width="4.375" style="156"/>
    <col min="10522" max="10522" width="14.5" style="156" customWidth="1"/>
    <col min="10523" max="10759" width="4.375" style="156"/>
    <col min="10760" max="10760" width="6" style="156" customWidth="1"/>
    <col min="10761" max="10761" width="6.125" style="156" customWidth="1"/>
    <col min="10762" max="10762" width="4.375" style="156"/>
    <col min="10763" max="10763" width="4.5" style="156" customWidth="1"/>
    <col min="10764" max="10777" width="4.375" style="156"/>
    <col min="10778" max="10778" width="14.5" style="156" customWidth="1"/>
    <col min="10779" max="11015" width="4.375" style="156"/>
    <col min="11016" max="11016" width="6" style="156" customWidth="1"/>
    <col min="11017" max="11017" width="6.125" style="156" customWidth="1"/>
    <col min="11018" max="11018" width="4.375" style="156"/>
    <col min="11019" max="11019" width="4.5" style="156" customWidth="1"/>
    <col min="11020" max="11033" width="4.375" style="156"/>
    <col min="11034" max="11034" width="14.5" style="156" customWidth="1"/>
    <col min="11035" max="11271" width="4.375" style="156"/>
    <col min="11272" max="11272" width="6" style="156" customWidth="1"/>
    <col min="11273" max="11273" width="6.125" style="156" customWidth="1"/>
    <col min="11274" max="11274" width="4.375" style="156"/>
    <col min="11275" max="11275" width="4.5" style="156" customWidth="1"/>
    <col min="11276" max="11289" width="4.375" style="156"/>
    <col min="11290" max="11290" width="14.5" style="156" customWidth="1"/>
    <col min="11291" max="11527" width="4.375" style="156"/>
    <col min="11528" max="11528" width="6" style="156" customWidth="1"/>
    <col min="11529" max="11529" width="6.125" style="156" customWidth="1"/>
    <col min="11530" max="11530" width="4.375" style="156"/>
    <col min="11531" max="11531" width="4.5" style="156" customWidth="1"/>
    <col min="11532" max="11545" width="4.375" style="156"/>
    <col min="11546" max="11546" width="14.5" style="156" customWidth="1"/>
    <col min="11547" max="11783" width="4.375" style="156"/>
    <col min="11784" max="11784" width="6" style="156" customWidth="1"/>
    <col min="11785" max="11785" width="6.125" style="156" customWidth="1"/>
    <col min="11786" max="11786" width="4.375" style="156"/>
    <col min="11787" max="11787" width="4.5" style="156" customWidth="1"/>
    <col min="11788" max="11801" width="4.375" style="156"/>
    <col min="11802" max="11802" width="14.5" style="156" customWidth="1"/>
    <col min="11803" max="12039" width="4.375" style="156"/>
    <col min="12040" max="12040" width="6" style="156" customWidth="1"/>
    <col min="12041" max="12041" width="6.125" style="156" customWidth="1"/>
    <col min="12042" max="12042" width="4.375" style="156"/>
    <col min="12043" max="12043" width="4.5" style="156" customWidth="1"/>
    <col min="12044" max="12057" width="4.375" style="156"/>
    <col min="12058" max="12058" width="14.5" style="156" customWidth="1"/>
    <col min="12059" max="12295" width="4.375" style="156"/>
    <col min="12296" max="12296" width="6" style="156" customWidth="1"/>
    <col min="12297" max="12297" width="6.125" style="156" customWidth="1"/>
    <col min="12298" max="12298" width="4.375" style="156"/>
    <col min="12299" max="12299" width="4.5" style="156" customWidth="1"/>
    <col min="12300" max="12313" width="4.375" style="156"/>
    <col min="12314" max="12314" width="14.5" style="156" customWidth="1"/>
    <col min="12315" max="12551" width="4.375" style="156"/>
    <col min="12552" max="12552" width="6" style="156" customWidth="1"/>
    <col min="12553" max="12553" width="6.125" style="156" customWidth="1"/>
    <col min="12554" max="12554" width="4.375" style="156"/>
    <col min="12555" max="12555" width="4.5" style="156" customWidth="1"/>
    <col min="12556" max="12569" width="4.375" style="156"/>
    <col min="12570" max="12570" width="14.5" style="156" customWidth="1"/>
    <col min="12571" max="12807" width="4.375" style="156"/>
    <col min="12808" max="12808" width="6" style="156" customWidth="1"/>
    <col min="12809" max="12809" width="6.125" style="156" customWidth="1"/>
    <col min="12810" max="12810" width="4.375" style="156"/>
    <col min="12811" max="12811" width="4.5" style="156" customWidth="1"/>
    <col min="12812" max="12825" width="4.375" style="156"/>
    <col min="12826" max="12826" width="14.5" style="156" customWidth="1"/>
    <col min="12827" max="13063" width="4.375" style="156"/>
    <col min="13064" max="13064" width="6" style="156" customWidth="1"/>
    <col min="13065" max="13065" width="6.125" style="156" customWidth="1"/>
    <col min="13066" max="13066" width="4.375" style="156"/>
    <col min="13067" max="13067" width="4.5" style="156" customWidth="1"/>
    <col min="13068" max="13081" width="4.375" style="156"/>
    <col min="13082" max="13082" width="14.5" style="156" customWidth="1"/>
    <col min="13083" max="13319" width="4.375" style="156"/>
    <col min="13320" max="13320" width="6" style="156" customWidth="1"/>
    <col min="13321" max="13321" width="6.125" style="156" customWidth="1"/>
    <col min="13322" max="13322" width="4.375" style="156"/>
    <col min="13323" max="13323" width="4.5" style="156" customWidth="1"/>
    <col min="13324" max="13337" width="4.375" style="156"/>
    <col min="13338" max="13338" width="14.5" style="156" customWidth="1"/>
    <col min="13339" max="13575" width="4.375" style="156"/>
    <col min="13576" max="13576" width="6" style="156" customWidth="1"/>
    <col min="13577" max="13577" width="6.125" style="156" customWidth="1"/>
    <col min="13578" max="13578" width="4.375" style="156"/>
    <col min="13579" max="13579" width="4.5" style="156" customWidth="1"/>
    <col min="13580" max="13593" width="4.375" style="156"/>
    <col min="13594" max="13594" width="14.5" style="156" customWidth="1"/>
    <col min="13595" max="13831" width="4.375" style="156"/>
    <col min="13832" max="13832" width="6" style="156" customWidth="1"/>
    <col min="13833" max="13833" width="6.125" style="156" customWidth="1"/>
    <col min="13834" max="13834" width="4.375" style="156"/>
    <col min="13835" max="13835" width="4.5" style="156" customWidth="1"/>
    <col min="13836" max="13849" width="4.375" style="156"/>
    <col min="13850" max="13850" width="14.5" style="156" customWidth="1"/>
    <col min="13851" max="14087" width="4.375" style="156"/>
    <col min="14088" max="14088" width="6" style="156" customWidth="1"/>
    <col min="14089" max="14089" width="6.125" style="156" customWidth="1"/>
    <col min="14090" max="14090" width="4.375" style="156"/>
    <col min="14091" max="14091" width="4.5" style="156" customWidth="1"/>
    <col min="14092" max="14105" width="4.375" style="156"/>
    <col min="14106" max="14106" width="14.5" style="156" customWidth="1"/>
    <col min="14107" max="14343" width="4.375" style="156"/>
    <col min="14344" max="14344" width="6" style="156" customWidth="1"/>
    <col min="14345" max="14345" width="6.125" style="156" customWidth="1"/>
    <col min="14346" max="14346" width="4.375" style="156"/>
    <col min="14347" max="14347" width="4.5" style="156" customWidth="1"/>
    <col min="14348" max="14361" width="4.375" style="156"/>
    <col min="14362" max="14362" width="14.5" style="156" customWidth="1"/>
    <col min="14363" max="14599" width="4.375" style="156"/>
    <col min="14600" max="14600" width="6" style="156" customWidth="1"/>
    <col min="14601" max="14601" width="6.125" style="156" customWidth="1"/>
    <col min="14602" max="14602" width="4.375" style="156"/>
    <col min="14603" max="14603" width="4.5" style="156" customWidth="1"/>
    <col min="14604" max="14617" width="4.375" style="156"/>
    <col min="14618" max="14618" width="14.5" style="156" customWidth="1"/>
    <col min="14619" max="14855" width="4.375" style="156"/>
    <col min="14856" max="14856" width="6" style="156" customWidth="1"/>
    <col min="14857" max="14857" width="6.125" style="156" customWidth="1"/>
    <col min="14858" max="14858" width="4.375" style="156"/>
    <col min="14859" max="14859" width="4.5" style="156" customWidth="1"/>
    <col min="14860" max="14873" width="4.375" style="156"/>
    <col min="14874" max="14874" width="14.5" style="156" customWidth="1"/>
    <col min="14875" max="15111" width="4.375" style="156"/>
    <col min="15112" max="15112" width="6" style="156" customWidth="1"/>
    <col min="15113" max="15113" width="6.125" style="156" customWidth="1"/>
    <col min="15114" max="15114" width="4.375" style="156"/>
    <col min="15115" max="15115" width="4.5" style="156" customWidth="1"/>
    <col min="15116" max="15129" width="4.375" style="156"/>
    <col min="15130" max="15130" width="14.5" style="156" customWidth="1"/>
    <col min="15131" max="15367" width="4.375" style="156"/>
    <col min="15368" max="15368" width="6" style="156" customWidth="1"/>
    <col min="15369" max="15369" width="6.125" style="156" customWidth="1"/>
    <col min="15370" max="15370" width="4.375" style="156"/>
    <col min="15371" max="15371" width="4.5" style="156" customWidth="1"/>
    <col min="15372" max="15385" width="4.375" style="156"/>
    <col min="15386" max="15386" width="14.5" style="156" customWidth="1"/>
    <col min="15387" max="15623" width="4.375" style="156"/>
    <col min="15624" max="15624" width="6" style="156" customWidth="1"/>
    <col min="15625" max="15625" width="6.125" style="156" customWidth="1"/>
    <col min="15626" max="15626" width="4.375" style="156"/>
    <col min="15627" max="15627" width="4.5" style="156" customWidth="1"/>
    <col min="15628" max="15641" width="4.375" style="156"/>
    <col min="15642" max="15642" width="14.5" style="156" customWidth="1"/>
    <col min="15643" max="15879" width="4.375" style="156"/>
    <col min="15880" max="15880" width="6" style="156" customWidth="1"/>
    <col min="15881" max="15881" width="6.125" style="156" customWidth="1"/>
    <col min="15882" max="15882" width="4.375" style="156"/>
    <col min="15883" max="15883" width="4.5" style="156" customWidth="1"/>
    <col min="15884" max="15897" width="4.375" style="156"/>
    <col min="15898" max="15898" width="14.5" style="156" customWidth="1"/>
    <col min="15899" max="16135" width="4.375" style="156"/>
    <col min="16136" max="16136" width="6" style="156" customWidth="1"/>
    <col min="16137" max="16137" width="6.125" style="156" customWidth="1"/>
    <col min="16138" max="16138" width="4.375" style="156"/>
    <col min="16139" max="16139" width="4.5" style="156" customWidth="1"/>
    <col min="16140" max="16153" width="4.375" style="156"/>
    <col min="16154" max="16154" width="14.5" style="156" customWidth="1"/>
    <col min="16155" max="16384" width="4.375" style="156"/>
  </cols>
  <sheetData>
    <row r="1" spans="1:24" ht="36.75" customHeight="1">
      <c r="A1" s="218" t="s">
        <v>1201</v>
      </c>
      <c r="B1" s="218"/>
      <c r="C1" s="218"/>
      <c r="D1" s="218"/>
      <c r="E1" s="218"/>
      <c r="F1" s="218"/>
      <c r="G1" s="218"/>
      <c r="H1" s="218"/>
      <c r="I1" s="218"/>
      <c r="J1" s="218"/>
      <c r="K1" s="218"/>
      <c r="L1" s="218"/>
      <c r="M1" s="218"/>
      <c r="N1" s="218"/>
      <c r="O1" s="218"/>
      <c r="P1" s="218"/>
      <c r="Q1" s="218"/>
      <c r="R1" s="218"/>
      <c r="S1" s="218"/>
      <c r="T1" s="218"/>
      <c r="U1" s="218"/>
      <c r="V1" s="218"/>
      <c r="W1" s="218"/>
      <c r="X1" s="218"/>
    </row>
    <row r="3" spans="1:24" ht="20.25">
      <c r="A3" s="6" t="s">
        <v>1249</v>
      </c>
    </row>
    <row r="5" spans="1:24" ht="39.75" customHeight="1">
      <c r="A5" s="157" t="s">
        <v>1250</v>
      </c>
    </row>
    <row r="6" spans="1:24" ht="23.25" customHeight="1">
      <c r="A6" s="217" t="s">
        <v>1130</v>
      </c>
      <c r="B6" s="217"/>
      <c r="C6" s="217" t="s">
        <v>1131</v>
      </c>
      <c r="D6" s="217"/>
      <c r="E6" s="217"/>
      <c r="F6" s="217"/>
      <c r="G6" s="217"/>
      <c r="H6" s="217"/>
      <c r="I6" s="217"/>
      <c r="J6" s="217"/>
      <c r="K6" s="217"/>
      <c r="L6" s="217"/>
      <c r="M6" s="217"/>
      <c r="N6" s="217"/>
      <c r="O6" s="217"/>
    </row>
    <row r="7" spans="1:24" ht="23.25" customHeight="1">
      <c r="A7" s="217" t="s">
        <v>1202</v>
      </c>
      <c r="B7" s="217"/>
      <c r="C7" s="217" t="s">
        <v>1203</v>
      </c>
      <c r="D7" s="217"/>
      <c r="E7" s="217"/>
      <c r="F7" s="217"/>
      <c r="G7" s="217"/>
      <c r="H7" s="217"/>
      <c r="I7" s="217"/>
      <c r="J7" s="217"/>
      <c r="K7" s="217"/>
      <c r="L7" s="217"/>
      <c r="M7" s="217"/>
      <c r="N7" s="217"/>
      <c r="O7" s="217"/>
    </row>
    <row r="8" spans="1:24" ht="23.25" customHeight="1"/>
    <row r="9" spans="1:24" ht="23.25" customHeight="1">
      <c r="A9" s="203" t="s">
        <v>1204</v>
      </c>
      <c r="B9" s="203" t="s">
        <v>1205</v>
      </c>
      <c r="C9" s="203" t="s">
        <v>1206</v>
      </c>
      <c r="D9" s="203" t="s">
        <v>1134</v>
      </c>
      <c r="E9" s="203" t="s">
        <v>1207</v>
      </c>
      <c r="F9" s="203" t="s">
        <v>1208</v>
      </c>
      <c r="G9" s="203" t="s">
        <v>1209</v>
      </c>
      <c r="H9" s="203" t="s">
        <v>1210</v>
      </c>
      <c r="I9" s="203" t="s">
        <v>1211</v>
      </c>
      <c r="J9" s="203" t="s">
        <v>1212</v>
      </c>
      <c r="K9" s="203" t="s">
        <v>1213</v>
      </c>
      <c r="L9" s="203" t="s">
        <v>1214</v>
      </c>
      <c r="M9" s="203" t="s">
        <v>1215</v>
      </c>
      <c r="N9" s="203" t="s">
        <v>1216</v>
      </c>
      <c r="O9" s="203" t="s">
        <v>1217</v>
      </c>
    </row>
    <row r="10" spans="1:24" ht="23.25" customHeight="1">
      <c r="A10" s="158" t="s">
        <v>1218</v>
      </c>
      <c r="B10" s="159"/>
      <c r="C10" s="159">
        <v>98</v>
      </c>
      <c r="D10" s="159">
        <v>98</v>
      </c>
      <c r="E10" s="159">
        <v>98</v>
      </c>
      <c r="F10" s="159">
        <v>98</v>
      </c>
      <c r="G10" s="159">
        <v>98</v>
      </c>
      <c r="H10" s="159">
        <v>98</v>
      </c>
      <c r="I10" s="159">
        <v>98</v>
      </c>
      <c r="J10" s="159">
        <v>98</v>
      </c>
      <c r="K10" s="159">
        <v>98</v>
      </c>
      <c r="L10" s="159">
        <v>98</v>
      </c>
      <c r="M10" s="159">
        <v>98</v>
      </c>
      <c r="N10" s="159">
        <v>98</v>
      </c>
      <c r="O10" s="159">
        <v>98</v>
      </c>
    </row>
    <row r="11" spans="1:24" ht="23.25" customHeight="1">
      <c r="A11" s="158" t="s">
        <v>1219</v>
      </c>
      <c r="B11" s="204">
        <v>92.8</v>
      </c>
      <c r="C11" s="204">
        <f>D11</f>
        <v>93.199999999999989</v>
      </c>
      <c r="D11" s="205">
        <f>AVERAGE(E11:O11)</f>
        <v>93.199999999999989</v>
      </c>
      <c r="E11" s="204">
        <v>94.8</v>
      </c>
      <c r="F11" s="204">
        <v>92</v>
      </c>
      <c r="G11" s="204">
        <v>91</v>
      </c>
      <c r="H11" s="204">
        <v>91</v>
      </c>
      <c r="I11" s="204">
        <v>94</v>
      </c>
      <c r="J11" s="204">
        <v>95</v>
      </c>
      <c r="K11" s="204">
        <v>94</v>
      </c>
      <c r="L11" s="204">
        <v>93.4</v>
      </c>
      <c r="M11" s="204">
        <v>92</v>
      </c>
      <c r="N11" s="204">
        <v>92</v>
      </c>
      <c r="O11" s="204">
        <v>96</v>
      </c>
    </row>
    <row r="13" spans="1:24" ht="29.25" customHeight="1">
      <c r="A13" s="157" t="s">
        <v>1251</v>
      </c>
    </row>
    <row r="14" spans="1:24" ht="23.25" customHeight="1">
      <c r="A14" s="217" t="s">
        <v>1220</v>
      </c>
      <c r="B14" s="217"/>
      <c r="C14" s="217" t="s">
        <v>1221</v>
      </c>
      <c r="D14" s="217"/>
      <c r="E14" s="217"/>
      <c r="F14" s="217"/>
      <c r="G14" s="217"/>
      <c r="H14" s="217"/>
      <c r="I14" s="217"/>
      <c r="J14" s="217"/>
      <c r="K14" s="217"/>
      <c r="L14" s="217"/>
      <c r="M14" s="217"/>
      <c r="N14" s="217"/>
      <c r="O14" s="217"/>
    </row>
    <row r="15" spans="1:24" ht="23.25" customHeight="1">
      <c r="A15" s="217" t="s">
        <v>1222</v>
      </c>
      <c r="B15" s="217"/>
      <c r="C15" s="217" t="s">
        <v>1223</v>
      </c>
      <c r="D15" s="217"/>
      <c r="E15" s="217"/>
      <c r="F15" s="217"/>
      <c r="G15" s="217"/>
      <c r="H15" s="217"/>
      <c r="I15" s="217"/>
      <c r="J15" s="217"/>
      <c r="K15" s="217"/>
      <c r="L15" s="217"/>
      <c r="M15" s="217"/>
      <c r="N15" s="217"/>
      <c r="O15" s="217"/>
    </row>
    <row r="16" spans="1:24" ht="23.25" customHeight="1"/>
    <row r="17" spans="1:15" ht="23.25" customHeight="1">
      <c r="A17" s="203" t="s">
        <v>1224</v>
      </c>
      <c r="B17" s="203" t="s">
        <v>1205</v>
      </c>
      <c r="C17" s="203" t="s">
        <v>1206</v>
      </c>
      <c r="D17" s="203" t="s">
        <v>1225</v>
      </c>
      <c r="E17" s="203" t="s">
        <v>1226</v>
      </c>
      <c r="F17" s="203" t="s">
        <v>1227</v>
      </c>
      <c r="G17" s="203" t="s">
        <v>1228</v>
      </c>
      <c r="H17" s="203" t="s">
        <v>1229</v>
      </c>
      <c r="I17" s="203" t="s">
        <v>1230</v>
      </c>
      <c r="J17" s="203" t="s">
        <v>1231</v>
      </c>
      <c r="K17" s="203" t="s">
        <v>1213</v>
      </c>
      <c r="L17" s="203" t="s">
        <v>1232</v>
      </c>
      <c r="M17" s="203" t="s">
        <v>1215</v>
      </c>
      <c r="N17" s="203" t="s">
        <v>1233</v>
      </c>
      <c r="O17" s="203" t="s">
        <v>1217</v>
      </c>
    </row>
    <row r="18" spans="1:15" ht="23.25" customHeight="1">
      <c r="A18" s="158" t="s">
        <v>1139</v>
      </c>
      <c r="B18" s="159">
        <v>6</v>
      </c>
      <c r="C18" s="159">
        <v>6</v>
      </c>
      <c r="D18" s="159">
        <v>6</v>
      </c>
      <c r="E18" s="159">
        <v>6</v>
      </c>
      <c r="F18" s="159">
        <v>6</v>
      </c>
      <c r="G18" s="159">
        <v>6</v>
      </c>
      <c r="H18" s="159">
        <v>6</v>
      </c>
      <c r="I18" s="159">
        <v>6</v>
      </c>
      <c r="J18" s="159">
        <v>6</v>
      </c>
      <c r="K18" s="159">
        <v>6</v>
      </c>
      <c r="L18" s="159">
        <v>6</v>
      </c>
      <c r="M18" s="159">
        <v>6</v>
      </c>
      <c r="N18" s="159">
        <v>6</v>
      </c>
      <c r="O18" s="159">
        <v>6</v>
      </c>
    </row>
    <row r="19" spans="1:15" ht="23.25" customHeight="1">
      <c r="A19" s="158" t="s">
        <v>1140</v>
      </c>
      <c r="B19" s="159">
        <v>4.5999999999999996</v>
      </c>
      <c r="C19" s="159">
        <f>D19</f>
        <v>5</v>
      </c>
      <c r="D19" s="160">
        <f>AVERAGE(L19:O19)</f>
        <v>5</v>
      </c>
      <c r="E19" s="159">
        <v>6</v>
      </c>
      <c r="F19" s="159">
        <v>4</v>
      </c>
      <c r="G19" s="159">
        <v>6</v>
      </c>
      <c r="H19" s="159">
        <v>6</v>
      </c>
      <c r="I19" s="159">
        <v>6</v>
      </c>
      <c r="J19" s="159">
        <v>4</v>
      </c>
      <c r="K19" s="159">
        <v>4</v>
      </c>
      <c r="L19" s="159">
        <v>4</v>
      </c>
      <c r="M19" s="159">
        <v>8</v>
      </c>
      <c r="N19" s="159">
        <v>4</v>
      </c>
      <c r="O19" s="159">
        <v>4</v>
      </c>
    </row>
    <row r="20" spans="1:15" ht="9" customHeight="1"/>
    <row r="21" spans="1:15" ht="21" customHeight="1">
      <c r="A21" s="157" t="s">
        <v>1252</v>
      </c>
    </row>
    <row r="22" spans="1:15" ht="23.25" customHeight="1">
      <c r="A22" s="217" t="s">
        <v>1130</v>
      </c>
      <c r="B22" s="217"/>
      <c r="C22" s="217" t="s">
        <v>1141</v>
      </c>
      <c r="D22" s="217"/>
      <c r="E22" s="217"/>
      <c r="F22" s="217"/>
      <c r="G22" s="217"/>
      <c r="H22" s="217"/>
      <c r="I22" s="217"/>
      <c r="J22" s="217"/>
      <c r="K22" s="217"/>
      <c r="L22" s="217"/>
      <c r="M22" s="217"/>
      <c r="N22" s="217"/>
      <c r="O22" s="217"/>
    </row>
    <row r="23" spans="1:15" ht="23.25" customHeight="1">
      <c r="A23" s="217" t="s">
        <v>1234</v>
      </c>
      <c r="B23" s="217"/>
      <c r="C23" s="217" t="s">
        <v>1235</v>
      </c>
      <c r="D23" s="217"/>
      <c r="E23" s="217"/>
      <c r="F23" s="217"/>
      <c r="G23" s="217"/>
      <c r="H23" s="217"/>
      <c r="I23" s="217"/>
      <c r="J23" s="217"/>
      <c r="K23" s="217"/>
      <c r="L23" s="217"/>
      <c r="M23" s="217"/>
      <c r="N23" s="217"/>
      <c r="O23" s="217"/>
    </row>
    <row r="24" spans="1:15" ht="23.25" customHeight="1"/>
    <row r="25" spans="1:15" ht="23.25" customHeight="1">
      <c r="A25" s="203" t="s">
        <v>1236</v>
      </c>
      <c r="B25" s="203" t="s">
        <v>1237</v>
      </c>
      <c r="C25" s="203" t="s">
        <v>1238</v>
      </c>
      <c r="D25" s="203" t="s">
        <v>1239</v>
      </c>
      <c r="E25" s="203" t="s">
        <v>1240</v>
      </c>
      <c r="F25" s="203" t="s">
        <v>1241</v>
      </c>
      <c r="G25" s="203" t="s">
        <v>1242</v>
      </c>
      <c r="H25" s="203" t="s">
        <v>1243</v>
      </c>
      <c r="I25" s="203" t="s">
        <v>1244</v>
      </c>
      <c r="J25" s="203" t="s">
        <v>1245</v>
      </c>
      <c r="K25" s="203" t="s">
        <v>1246</v>
      </c>
      <c r="L25" s="203" t="s">
        <v>1135</v>
      </c>
      <c r="M25" s="203" t="s">
        <v>1136</v>
      </c>
      <c r="N25" s="203" t="s">
        <v>1137</v>
      </c>
      <c r="O25" s="203" t="s">
        <v>1138</v>
      </c>
    </row>
    <row r="26" spans="1:15" ht="23.25" customHeight="1">
      <c r="A26" s="158" t="s">
        <v>1139</v>
      </c>
      <c r="B26" s="159"/>
      <c r="C26" s="159">
        <v>600</v>
      </c>
      <c r="D26" s="159">
        <v>600</v>
      </c>
      <c r="E26" s="159">
        <v>600</v>
      </c>
      <c r="F26" s="159">
        <v>600</v>
      </c>
      <c r="G26" s="159">
        <v>600</v>
      </c>
      <c r="H26" s="159">
        <v>600</v>
      </c>
      <c r="I26" s="159">
        <v>600</v>
      </c>
      <c r="J26" s="159">
        <v>600</v>
      </c>
      <c r="K26" s="159">
        <v>600</v>
      </c>
      <c r="L26" s="159">
        <v>600</v>
      </c>
      <c r="M26" s="159">
        <v>600</v>
      </c>
      <c r="N26" s="159">
        <v>600</v>
      </c>
      <c r="O26" s="159">
        <v>600</v>
      </c>
    </row>
    <row r="27" spans="1:15" ht="23.25" customHeight="1">
      <c r="A27" s="158" t="s">
        <v>1140</v>
      </c>
      <c r="B27" s="159">
        <v>703</v>
      </c>
      <c r="C27" s="206">
        <f>D27</f>
        <v>692.4</v>
      </c>
      <c r="D27" s="207">
        <f>AVERAGE(E27:O27)</f>
        <v>692.4</v>
      </c>
      <c r="E27" s="159">
        <v>795</v>
      </c>
      <c r="F27" s="159">
        <v>774</v>
      </c>
      <c r="G27" s="159">
        <v>669</v>
      </c>
      <c r="H27" s="159">
        <v>639</v>
      </c>
      <c r="I27" s="159">
        <v>586</v>
      </c>
      <c r="J27" s="159">
        <v>764</v>
      </c>
      <c r="K27" s="159">
        <v>783</v>
      </c>
      <c r="L27" s="159">
        <v>691</v>
      </c>
      <c r="M27" s="159">
        <v>640</v>
      </c>
      <c r="N27" s="159">
        <v>583</v>
      </c>
      <c r="O27" s="159" t="s">
        <v>1065</v>
      </c>
    </row>
    <row r="28" spans="1:15" ht="7.5" customHeight="1">
      <c r="B28" s="161"/>
      <c r="C28" s="161"/>
      <c r="D28" s="161"/>
      <c r="E28" s="161"/>
      <c r="F28" s="161"/>
      <c r="G28" s="161"/>
      <c r="H28" s="161"/>
      <c r="I28" s="161"/>
      <c r="J28" s="161"/>
      <c r="K28" s="161"/>
      <c r="L28" s="161"/>
      <c r="M28" s="161"/>
      <c r="N28" s="161"/>
      <c r="O28" s="161"/>
    </row>
    <row r="29" spans="1:15" ht="4.5" customHeight="1"/>
    <row r="30" spans="1:15" ht="23.25" customHeight="1">
      <c r="A30" s="157" t="s">
        <v>1253</v>
      </c>
    </row>
    <row r="31" spans="1:15" ht="23.25" customHeight="1">
      <c r="A31" s="217" t="s">
        <v>1130</v>
      </c>
      <c r="B31" s="217"/>
      <c r="C31" s="217" t="s">
        <v>1141</v>
      </c>
      <c r="D31" s="217"/>
      <c r="E31" s="217"/>
      <c r="F31" s="217"/>
      <c r="G31" s="217"/>
      <c r="H31" s="217"/>
      <c r="I31" s="217"/>
      <c r="J31" s="217"/>
      <c r="K31" s="217"/>
      <c r="L31" s="217"/>
      <c r="M31" s="217"/>
      <c r="N31" s="217"/>
      <c r="O31" s="217"/>
    </row>
    <row r="32" spans="1:15" ht="23.25" customHeight="1">
      <c r="A32" s="217" t="s">
        <v>1132</v>
      </c>
      <c r="B32" s="217"/>
      <c r="C32" s="217" t="s">
        <v>1142</v>
      </c>
      <c r="D32" s="217"/>
      <c r="E32" s="217"/>
      <c r="F32" s="217"/>
      <c r="G32" s="217"/>
      <c r="H32" s="217"/>
      <c r="I32" s="217"/>
      <c r="J32" s="217"/>
      <c r="K32" s="217"/>
      <c r="L32" s="217"/>
      <c r="M32" s="217"/>
      <c r="N32" s="217"/>
      <c r="O32" s="217"/>
    </row>
    <row r="33" spans="1:26" ht="23.25" customHeight="1"/>
    <row r="34" spans="1:26" ht="23.25" customHeight="1">
      <c r="A34" s="203" t="s">
        <v>1133</v>
      </c>
      <c r="B34" s="203" t="s">
        <v>1247</v>
      </c>
      <c r="C34" s="203" t="s">
        <v>1238</v>
      </c>
      <c r="D34" s="203" t="s">
        <v>1134</v>
      </c>
      <c r="E34" s="203" t="s">
        <v>1248</v>
      </c>
      <c r="F34" s="203" t="s">
        <v>1241</v>
      </c>
      <c r="G34" s="203" t="s">
        <v>1242</v>
      </c>
      <c r="H34" s="203" t="s">
        <v>1243</v>
      </c>
      <c r="I34" s="203" t="s">
        <v>1244</v>
      </c>
      <c r="J34" s="203" t="s">
        <v>1245</v>
      </c>
      <c r="K34" s="203" t="s">
        <v>1246</v>
      </c>
      <c r="L34" s="203" t="s">
        <v>1135</v>
      </c>
      <c r="M34" s="203" t="s">
        <v>1136</v>
      </c>
      <c r="N34" s="203" t="s">
        <v>1137</v>
      </c>
      <c r="O34" s="203" t="s">
        <v>1138</v>
      </c>
    </row>
    <row r="35" spans="1:26" ht="23.25" customHeight="1">
      <c r="A35" s="158" t="s">
        <v>1139</v>
      </c>
      <c r="B35" s="159"/>
      <c r="C35" s="159">
        <v>150</v>
      </c>
      <c r="D35" s="159">
        <v>150</v>
      </c>
      <c r="E35" s="159">
        <v>150</v>
      </c>
      <c r="F35" s="159">
        <v>150</v>
      </c>
      <c r="G35" s="159">
        <v>150</v>
      </c>
      <c r="H35" s="159">
        <v>150</v>
      </c>
      <c r="I35" s="159">
        <v>150</v>
      </c>
      <c r="J35" s="159">
        <v>150</v>
      </c>
      <c r="K35" s="159">
        <v>150</v>
      </c>
      <c r="L35" s="159">
        <v>150</v>
      </c>
      <c r="M35" s="159">
        <v>150</v>
      </c>
      <c r="N35" s="159">
        <v>150</v>
      </c>
      <c r="O35" s="159">
        <v>150</v>
      </c>
    </row>
    <row r="36" spans="1:26" ht="23.25" customHeight="1">
      <c r="A36" s="158" t="s">
        <v>1140</v>
      </c>
      <c r="B36" s="159">
        <v>170</v>
      </c>
      <c r="C36" s="206">
        <f>D36</f>
        <v>173.5</v>
      </c>
      <c r="D36" s="207">
        <f>AVERAGE(E36:O36)</f>
        <v>173.5</v>
      </c>
      <c r="E36" s="159">
        <v>360</v>
      </c>
      <c r="F36" s="159">
        <v>236</v>
      </c>
      <c r="G36" s="159">
        <v>168</v>
      </c>
      <c r="H36" s="159">
        <v>13</v>
      </c>
      <c r="I36" s="159">
        <v>57</v>
      </c>
      <c r="J36" s="159">
        <v>166</v>
      </c>
      <c r="K36" s="159">
        <v>244</v>
      </c>
      <c r="L36" s="159">
        <v>242</v>
      </c>
      <c r="M36" s="159">
        <v>193</v>
      </c>
      <c r="N36" s="159">
        <v>56</v>
      </c>
      <c r="O36" s="159" t="s">
        <v>1065</v>
      </c>
    </row>
    <row r="37" spans="1:26" ht="7.5" customHeight="1"/>
    <row r="38" spans="1:26" ht="12" customHeight="1"/>
    <row r="39" spans="1:26" ht="14.25">
      <c r="A39" s="157" t="s">
        <v>1254</v>
      </c>
    </row>
    <row r="40" spans="1:26" ht="23.25" customHeight="1">
      <c r="A40" s="217" t="s">
        <v>1130</v>
      </c>
      <c r="B40" s="217"/>
      <c r="C40" s="217" t="s">
        <v>1141</v>
      </c>
      <c r="D40" s="217"/>
      <c r="E40" s="217"/>
      <c r="F40" s="217"/>
      <c r="G40" s="217"/>
      <c r="H40" s="217"/>
      <c r="I40" s="217"/>
      <c r="J40" s="217"/>
      <c r="K40" s="217"/>
      <c r="L40" s="217"/>
      <c r="M40" s="217"/>
      <c r="N40" s="217"/>
      <c r="O40" s="217"/>
    </row>
    <row r="41" spans="1:26" ht="23.25" customHeight="1">
      <c r="A41" s="217" t="s">
        <v>1132</v>
      </c>
      <c r="B41" s="217"/>
      <c r="C41" s="217" t="s">
        <v>1142</v>
      </c>
      <c r="D41" s="217"/>
      <c r="E41" s="217"/>
      <c r="F41" s="217"/>
      <c r="G41" s="217"/>
      <c r="H41" s="217"/>
      <c r="I41" s="217"/>
      <c r="J41" s="217"/>
      <c r="K41" s="217"/>
      <c r="L41" s="217"/>
      <c r="M41" s="217"/>
      <c r="N41" s="217"/>
      <c r="O41" s="217"/>
    </row>
    <row r="42" spans="1:26" ht="23.25" customHeight="1"/>
    <row r="43" spans="1:26" ht="23.25" customHeight="1">
      <c r="A43" s="203" t="s">
        <v>1133</v>
      </c>
      <c r="B43" s="203" t="s">
        <v>1247</v>
      </c>
      <c r="C43" s="203" t="s">
        <v>1238</v>
      </c>
      <c r="D43" s="203" t="s">
        <v>1134</v>
      </c>
      <c r="E43" s="203" t="s">
        <v>1248</v>
      </c>
      <c r="F43" s="203" t="s">
        <v>1241</v>
      </c>
      <c r="G43" s="203" t="s">
        <v>1242</v>
      </c>
      <c r="H43" s="203" t="s">
        <v>1243</v>
      </c>
      <c r="I43" s="203" t="s">
        <v>1244</v>
      </c>
      <c r="J43" s="203" t="s">
        <v>1245</v>
      </c>
      <c r="K43" s="203" t="s">
        <v>1246</v>
      </c>
      <c r="L43" s="203" t="s">
        <v>1135</v>
      </c>
      <c r="M43" s="203" t="s">
        <v>1136</v>
      </c>
      <c r="N43" s="203" t="s">
        <v>1137</v>
      </c>
      <c r="O43" s="203" t="s">
        <v>1138</v>
      </c>
      <c r="Z43" s="162"/>
    </row>
    <row r="44" spans="1:26" ht="23.25" customHeight="1">
      <c r="A44" s="158" t="s">
        <v>1139</v>
      </c>
      <c r="B44" s="159"/>
      <c r="C44" s="159">
        <v>12</v>
      </c>
      <c r="D44" s="159">
        <v>12</v>
      </c>
      <c r="E44" s="159">
        <v>12</v>
      </c>
      <c r="F44" s="159">
        <v>12</v>
      </c>
      <c r="G44" s="159">
        <v>12</v>
      </c>
      <c r="H44" s="159">
        <v>12</v>
      </c>
      <c r="I44" s="159">
        <v>12</v>
      </c>
      <c r="J44" s="159">
        <v>12</v>
      </c>
      <c r="K44" s="159">
        <v>12</v>
      </c>
      <c r="L44" s="159">
        <v>12</v>
      </c>
      <c r="M44" s="159">
        <v>12</v>
      </c>
      <c r="N44" s="159">
        <v>12</v>
      </c>
      <c r="O44" s="159">
        <v>12</v>
      </c>
    </row>
    <row r="45" spans="1:26" ht="23.25" customHeight="1">
      <c r="A45" s="158" t="s">
        <v>1140</v>
      </c>
      <c r="B45" s="159">
        <v>14</v>
      </c>
      <c r="C45" s="159">
        <f>D45</f>
        <v>12</v>
      </c>
      <c r="D45" s="160">
        <f>AVERAGE(E45:O45)</f>
        <v>12</v>
      </c>
      <c r="E45" s="208">
        <v>12</v>
      </c>
      <c r="F45" s="159">
        <v>11</v>
      </c>
      <c r="G45" s="159">
        <v>11</v>
      </c>
      <c r="H45" s="159">
        <v>11</v>
      </c>
      <c r="I45" s="159">
        <v>15</v>
      </c>
      <c r="J45" s="159">
        <v>8</v>
      </c>
      <c r="K45" s="159">
        <v>16</v>
      </c>
      <c r="L45" s="159">
        <v>13</v>
      </c>
      <c r="M45" s="159">
        <v>11</v>
      </c>
      <c r="N45" s="159">
        <v>12</v>
      </c>
      <c r="O45" s="159" t="s">
        <v>1065</v>
      </c>
    </row>
  </sheetData>
  <mergeCells count="21">
    <mergeCell ref="A14:B14"/>
    <mergeCell ref="C14:O14"/>
    <mergeCell ref="A1:X1"/>
    <mergeCell ref="A6:B6"/>
    <mergeCell ref="C6:O6"/>
    <mergeCell ref="A7:B7"/>
    <mergeCell ref="C7:O7"/>
    <mergeCell ref="A15:B15"/>
    <mergeCell ref="C15:O15"/>
    <mergeCell ref="A22:B22"/>
    <mergeCell ref="C22:O22"/>
    <mergeCell ref="A23:B23"/>
    <mergeCell ref="C23:O23"/>
    <mergeCell ref="A41:B41"/>
    <mergeCell ref="C41:O41"/>
    <mergeCell ref="A31:B31"/>
    <mergeCell ref="C31:O31"/>
    <mergeCell ref="A32:B32"/>
    <mergeCell ref="C32:O32"/>
    <mergeCell ref="A40:B40"/>
    <mergeCell ref="C40:O40"/>
  </mergeCells>
  <phoneticPr fontId="2" type="noConversion"/>
  <printOptions horizontalCentered="1" verticalCentered="1"/>
  <pageMargins left="0" right="0" top="0" bottom="0" header="0.51181102362204722" footer="0.51181102362204722"/>
  <pageSetup paperSize="9" orientation="landscape" horizontalDpi="4294967293" verticalDpi="300" r:id="rId1"/>
  <headerFooter alignWithMargins="0"/>
  <rowBreaks count="2" manualBreakCount="2">
    <brk id="20" max="23" man="1"/>
    <brk id="38" max="2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96"/>
  <sheetViews>
    <sheetView showGridLines="0" zoomScaleNormal="100" workbookViewId="0">
      <selection activeCell="C21" sqref="C21"/>
    </sheetView>
  </sheetViews>
  <sheetFormatPr defaultColWidth="9" defaultRowHeight="14.25"/>
  <cols>
    <col min="1" max="1" width="21.5" style="61" customWidth="1"/>
    <col min="2" max="2" width="31.75" style="61" customWidth="1"/>
    <col min="3" max="3" width="21.375" style="61" customWidth="1"/>
    <col min="4" max="4" width="14.5" style="61" customWidth="1"/>
    <col min="5" max="5" width="11.75" style="61" customWidth="1"/>
    <col min="6" max="6" width="32.5" style="61" customWidth="1"/>
    <col min="7" max="8" width="18.375" style="61" customWidth="1"/>
    <col min="9" max="9" width="9" style="61"/>
    <col min="10" max="15" width="17.625" style="61" customWidth="1"/>
    <col min="16" max="16384" width="9" style="61"/>
  </cols>
  <sheetData>
    <row r="2" spans="1:15">
      <c r="A2" s="62"/>
      <c r="B2" s="62"/>
      <c r="C2" s="62"/>
      <c r="D2" s="62"/>
      <c r="E2" s="62"/>
      <c r="F2" s="62"/>
      <c r="G2" s="62"/>
      <c r="H2" s="62"/>
    </row>
    <row r="3" spans="1:15">
      <c r="A3" s="219"/>
      <c r="B3" s="219"/>
      <c r="C3" s="219"/>
      <c r="D3" s="219"/>
      <c r="E3" s="219"/>
      <c r="F3" s="219"/>
      <c r="G3" s="219"/>
      <c r="H3" s="219"/>
      <c r="I3" s="219"/>
      <c r="J3" s="219"/>
      <c r="K3" s="219"/>
      <c r="L3" s="219"/>
      <c r="M3" s="219"/>
      <c r="N3" s="219"/>
      <c r="O3" s="219"/>
    </row>
    <row r="4" spans="1:15" ht="41.25" customHeight="1" thickBot="1">
      <c r="A4" s="220" t="s">
        <v>1160</v>
      </c>
      <c r="B4" s="220"/>
      <c r="C4" s="220"/>
      <c r="D4" s="63"/>
      <c r="E4" s="63"/>
      <c r="F4" s="63"/>
      <c r="G4" s="63"/>
      <c r="H4" s="63"/>
    </row>
    <row r="5" spans="1:15" ht="15" hidden="1" thickBot="1"/>
    <row r="6" spans="1:15" ht="15" hidden="1" thickBot="1"/>
    <row r="7" spans="1:15" ht="38.25" thickBot="1">
      <c r="A7" s="168" t="s">
        <v>1143</v>
      </c>
      <c r="B7" s="169" t="s">
        <v>1152</v>
      </c>
      <c r="C7" s="170" t="s">
        <v>1154</v>
      </c>
      <c r="D7" s="171" t="s">
        <v>1144</v>
      </c>
      <c r="E7" s="186" t="s">
        <v>1187</v>
      </c>
      <c r="F7" s="172" t="s">
        <v>1153</v>
      </c>
    </row>
    <row r="8" spans="1:15" ht="22.5" customHeight="1" thickTop="1">
      <c r="A8" s="173" t="s">
        <v>1145</v>
      </c>
      <c r="B8" s="164" t="s">
        <v>1146</v>
      </c>
      <c r="C8" s="164">
        <v>215</v>
      </c>
      <c r="D8" s="165">
        <v>76160000</v>
      </c>
      <c r="E8" s="187" t="s">
        <v>1185</v>
      </c>
      <c r="F8" s="189" t="s">
        <v>1189</v>
      </c>
    </row>
    <row r="9" spans="1:15" ht="22.5" customHeight="1">
      <c r="A9" s="174" t="s">
        <v>1147</v>
      </c>
      <c r="B9" s="166" t="s">
        <v>1186</v>
      </c>
      <c r="C9" s="166"/>
      <c r="D9" s="167">
        <v>19866000</v>
      </c>
      <c r="E9" s="188" t="s">
        <v>1185</v>
      </c>
      <c r="F9" s="190" t="s">
        <v>1188</v>
      </c>
    </row>
    <row r="10" spans="1:15" ht="22.5" customHeight="1">
      <c r="A10" s="174" t="s">
        <v>1148</v>
      </c>
      <c r="B10" s="166" t="s">
        <v>1149</v>
      </c>
      <c r="C10" s="166"/>
      <c r="D10" s="167">
        <v>1678000</v>
      </c>
      <c r="E10" s="188" t="s">
        <v>1185</v>
      </c>
      <c r="F10" s="190" t="s">
        <v>1190</v>
      </c>
    </row>
    <row r="11" spans="1:15" ht="22.5" customHeight="1">
      <c r="A11" s="176"/>
      <c r="B11" s="166"/>
      <c r="C11" s="166"/>
      <c r="D11" s="167"/>
      <c r="E11" s="188"/>
      <c r="F11" s="175"/>
    </row>
    <row r="12" spans="1:15" ht="22.5" customHeight="1">
      <c r="A12" s="176" t="s">
        <v>1155</v>
      </c>
      <c r="B12" s="166" t="s">
        <v>1161</v>
      </c>
      <c r="C12" s="166"/>
      <c r="D12" s="167"/>
      <c r="E12" s="188"/>
      <c r="F12" s="192" t="s">
        <v>1192</v>
      </c>
    </row>
    <row r="13" spans="1:15" ht="22.5" customHeight="1">
      <c r="A13" s="176" t="s">
        <v>1156</v>
      </c>
      <c r="B13" s="166" t="s">
        <v>1193</v>
      </c>
      <c r="C13" s="166"/>
      <c r="D13" s="167"/>
      <c r="E13" s="188"/>
      <c r="F13" s="192" t="s">
        <v>1192</v>
      </c>
    </row>
    <row r="14" spans="1:15" ht="22.5" customHeight="1">
      <c r="A14" s="176" t="s">
        <v>1157</v>
      </c>
      <c r="B14" s="185" t="s">
        <v>1183</v>
      </c>
      <c r="C14" s="166"/>
      <c r="D14" s="167"/>
      <c r="E14" s="188"/>
      <c r="F14" s="191" t="s">
        <v>1191</v>
      </c>
    </row>
    <row r="15" spans="1:15" ht="22.5" customHeight="1">
      <c r="A15" s="176" t="s">
        <v>1158</v>
      </c>
      <c r="B15" s="166" t="s">
        <v>1150</v>
      </c>
      <c r="C15" s="166"/>
      <c r="D15" s="167"/>
      <c r="E15" s="188"/>
      <c r="F15" s="175" t="s">
        <v>1196</v>
      </c>
    </row>
    <row r="16" spans="1:15" ht="22.5" customHeight="1">
      <c r="A16" s="176"/>
      <c r="B16" s="166"/>
      <c r="C16" s="166"/>
      <c r="D16" s="167"/>
      <c r="E16" s="188"/>
      <c r="F16" s="175"/>
    </row>
    <row r="17" spans="1:6" ht="22.5" customHeight="1">
      <c r="A17" s="176" t="s">
        <v>1159</v>
      </c>
      <c r="B17" s="166" t="s">
        <v>1162</v>
      </c>
      <c r="C17" s="166">
        <v>41</v>
      </c>
      <c r="D17" s="167">
        <v>21500000</v>
      </c>
      <c r="E17" s="188" t="s">
        <v>1184</v>
      </c>
      <c r="F17" s="190" t="s">
        <v>1195</v>
      </c>
    </row>
    <row r="18" spans="1:6" ht="22.5" customHeight="1" thickBot="1">
      <c r="A18" s="177" t="s">
        <v>1151</v>
      </c>
      <c r="B18" s="178" t="s">
        <v>1163</v>
      </c>
      <c r="C18" s="179">
        <v>35</v>
      </c>
      <c r="D18" s="180">
        <v>18500000</v>
      </c>
      <c r="E18" s="193" t="s">
        <v>1184</v>
      </c>
      <c r="F18" s="194" t="s">
        <v>1194</v>
      </c>
    </row>
    <row r="19" spans="1:6" ht="22.5" customHeight="1">
      <c r="A19" s="195"/>
      <c r="B19" s="196"/>
      <c r="C19" s="197"/>
      <c r="D19" s="198"/>
      <c r="E19" s="198"/>
      <c r="F19" s="199"/>
    </row>
    <row r="20" spans="1:6">
      <c r="D20" s="163"/>
      <c r="E20" s="163"/>
    </row>
    <row r="21" spans="1:6" ht="31.5">
      <c r="A21" s="201" t="s">
        <v>1197</v>
      </c>
      <c r="D21" s="163"/>
      <c r="E21" s="163"/>
    </row>
    <row r="22" spans="1:6">
      <c r="D22" s="163"/>
      <c r="E22" s="163"/>
    </row>
    <row r="23" spans="1:6">
      <c r="A23" s="200" t="s">
        <v>1198</v>
      </c>
      <c r="D23" s="163"/>
      <c r="E23" s="163"/>
    </row>
    <row r="24" spans="1:6" ht="16.5">
      <c r="A24" s="202" t="s">
        <v>1200</v>
      </c>
      <c r="D24" s="163"/>
      <c r="E24" s="163"/>
    </row>
    <row r="25" spans="1:6">
      <c r="D25" s="163"/>
      <c r="E25" s="163"/>
    </row>
    <row r="26" spans="1:6">
      <c r="D26" s="163"/>
      <c r="E26" s="163"/>
    </row>
    <row r="27" spans="1:6">
      <c r="D27" s="163"/>
      <c r="E27" s="163"/>
    </row>
    <row r="28" spans="1:6">
      <c r="D28" s="163"/>
      <c r="E28" s="163"/>
    </row>
    <row r="29" spans="1:6">
      <c r="D29" s="163"/>
      <c r="E29" s="163"/>
    </row>
    <row r="30" spans="1:6">
      <c r="D30" s="163"/>
      <c r="E30" s="163"/>
    </row>
    <row r="31" spans="1:6">
      <c r="D31" s="163"/>
      <c r="E31" s="163"/>
    </row>
    <row r="32" spans="1:6">
      <c r="D32" s="163"/>
      <c r="E32" s="163"/>
    </row>
    <row r="33" spans="4:5">
      <c r="D33" s="163"/>
      <c r="E33" s="163"/>
    </row>
    <row r="34" spans="4:5">
      <c r="D34" s="163"/>
      <c r="E34" s="163"/>
    </row>
    <row r="35" spans="4:5">
      <c r="D35" s="163"/>
      <c r="E35" s="163"/>
    </row>
    <row r="36" spans="4:5">
      <c r="D36" s="163"/>
      <c r="E36" s="163"/>
    </row>
    <row r="37" spans="4:5">
      <c r="D37" s="163"/>
      <c r="E37" s="163"/>
    </row>
    <row r="38" spans="4:5">
      <c r="D38" s="163"/>
      <c r="E38" s="163"/>
    </row>
    <row r="39" spans="4:5">
      <c r="D39" s="163"/>
      <c r="E39" s="163"/>
    </row>
    <row r="40" spans="4:5">
      <c r="D40" s="163"/>
      <c r="E40" s="163"/>
    </row>
    <row r="41" spans="4:5">
      <c r="D41" s="163"/>
      <c r="E41" s="163"/>
    </row>
    <row r="42" spans="4:5">
      <c r="D42" s="163"/>
      <c r="E42" s="163"/>
    </row>
    <row r="43" spans="4:5">
      <c r="D43" s="163"/>
      <c r="E43" s="163"/>
    </row>
    <row r="44" spans="4:5">
      <c r="D44" s="163"/>
      <c r="E44" s="163"/>
    </row>
    <row r="45" spans="4:5">
      <c r="D45" s="163"/>
      <c r="E45" s="163"/>
    </row>
    <row r="46" spans="4:5">
      <c r="D46" s="163"/>
      <c r="E46" s="163"/>
    </row>
    <row r="47" spans="4:5">
      <c r="D47" s="163"/>
      <c r="E47" s="163"/>
    </row>
    <row r="48" spans="4:5">
      <c r="D48" s="163"/>
      <c r="E48" s="163"/>
    </row>
    <row r="49" spans="4:5">
      <c r="D49" s="163"/>
      <c r="E49" s="163"/>
    </row>
    <row r="50" spans="4:5">
      <c r="D50" s="163"/>
      <c r="E50" s="163"/>
    </row>
    <row r="51" spans="4:5">
      <c r="D51" s="163"/>
      <c r="E51" s="163"/>
    </row>
    <row r="52" spans="4:5">
      <c r="D52" s="163"/>
      <c r="E52" s="163"/>
    </row>
    <row r="53" spans="4:5">
      <c r="D53" s="163"/>
      <c r="E53" s="163"/>
    </row>
    <row r="54" spans="4:5">
      <c r="D54" s="163"/>
      <c r="E54" s="163"/>
    </row>
    <row r="55" spans="4:5">
      <c r="D55" s="163"/>
      <c r="E55" s="163"/>
    </row>
    <row r="56" spans="4:5">
      <c r="D56" s="163"/>
      <c r="E56" s="163"/>
    </row>
    <row r="57" spans="4:5">
      <c r="D57" s="163"/>
      <c r="E57" s="163"/>
    </row>
    <row r="58" spans="4:5">
      <c r="D58" s="163"/>
      <c r="E58" s="163"/>
    </row>
    <row r="59" spans="4:5">
      <c r="D59" s="163"/>
      <c r="E59" s="163"/>
    </row>
    <row r="60" spans="4:5">
      <c r="D60" s="163"/>
      <c r="E60" s="163"/>
    </row>
    <row r="61" spans="4:5">
      <c r="D61" s="163"/>
      <c r="E61" s="163"/>
    </row>
    <row r="62" spans="4:5">
      <c r="D62" s="163"/>
      <c r="E62" s="163"/>
    </row>
    <row r="63" spans="4:5">
      <c r="D63" s="163"/>
      <c r="E63" s="163"/>
    </row>
    <row r="64" spans="4:5">
      <c r="D64" s="163"/>
      <c r="E64" s="163"/>
    </row>
    <row r="65" spans="1:6">
      <c r="D65" s="163"/>
      <c r="E65" s="163"/>
    </row>
    <row r="66" spans="1:6">
      <c r="D66" s="163"/>
      <c r="E66" s="163"/>
    </row>
    <row r="67" spans="1:6">
      <c r="D67" s="163"/>
      <c r="E67" s="163"/>
    </row>
    <row r="68" spans="1:6">
      <c r="D68" s="163"/>
      <c r="E68" s="163"/>
    </row>
    <row r="69" spans="1:6">
      <c r="D69" s="163"/>
      <c r="E69" s="163"/>
    </row>
    <row r="70" spans="1:6" ht="15">
      <c r="A70" s="181" t="s">
        <v>1199</v>
      </c>
      <c r="D70" s="163"/>
      <c r="E70" s="163"/>
    </row>
    <row r="71" spans="1:6">
      <c r="D71" s="163"/>
      <c r="E71" s="163"/>
    </row>
    <row r="72" spans="1:6">
      <c r="D72" s="163"/>
      <c r="E72" s="163"/>
    </row>
    <row r="73" spans="1:6">
      <c r="D73" s="163"/>
      <c r="E73" s="163"/>
    </row>
    <row r="74" spans="1:6">
      <c r="D74" s="163"/>
      <c r="E74" s="163"/>
    </row>
    <row r="75" spans="1:6" ht="26.25">
      <c r="A75" s="182" t="s">
        <v>1164</v>
      </c>
      <c r="D75" s="163"/>
      <c r="E75" s="163"/>
    </row>
    <row r="76" spans="1:6" ht="20.25" customHeight="1">
      <c r="D76" s="163"/>
      <c r="E76" s="163"/>
      <c r="F76" s="163"/>
    </row>
    <row r="77" spans="1:6" ht="20.25" customHeight="1">
      <c r="A77" s="181" t="s">
        <v>1165</v>
      </c>
      <c r="B77" s="183"/>
      <c r="D77" s="163"/>
      <c r="E77" s="163"/>
    </row>
    <row r="78" spans="1:6" ht="20.25" customHeight="1">
      <c r="A78" s="183" t="s">
        <v>1166</v>
      </c>
      <c r="B78" s="183"/>
      <c r="D78" s="163"/>
      <c r="E78" s="163"/>
    </row>
    <row r="79" spans="1:6" ht="20.25" customHeight="1">
      <c r="A79" s="183" t="s">
        <v>1167</v>
      </c>
      <c r="B79" s="183"/>
      <c r="D79" s="163"/>
      <c r="E79" s="163"/>
    </row>
    <row r="80" spans="1:6" ht="20.25" customHeight="1">
      <c r="A80" s="183" t="s">
        <v>1168</v>
      </c>
      <c r="B80" s="183"/>
      <c r="D80" s="163"/>
      <c r="E80" s="163"/>
    </row>
    <row r="81" spans="1:5" ht="20.25" customHeight="1">
      <c r="A81" s="183" t="s">
        <v>1169</v>
      </c>
      <c r="B81" s="183"/>
      <c r="D81" s="163"/>
      <c r="E81" s="163"/>
    </row>
    <row r="82" spans="1:5" ht="20.25" customHeight="1">
      <c r="A82" s="183"/>
      <c r="B82" s="183"/>
      <c r="D82" s="163"/>
      <c r="E82" s="163"/>
    </row>
    <row r="83" spans="1:5" ht="20.25" customHeight="1">
      <c r="A83" s="184" t="s">
        <v>1170</v>
      </c>
      <c r="B83" s="183"/>
      <c r="D83" s="163"/>
      <c r="E83" s="163"/>
    </row>
    <row r="84" spans="1:5" ht="20.25" customHeight="1">
      <c r="A84" s="183" t="s">
        <v>1171</v>
      </c>
      <c r="B84" s="183"/>
      <c r="D84" s="163"/>
      <c r="E84" s="163"/>
    </row>
    <row r="85" spans="1:5" ht="20.25" customHeight="1">
      <c r="A85" s="183" t="s">
        <v>1172</v>
      </c>
      <c r="B85" s="183"/>
      <c r="D85" s="163"/>
      <c r="E85" s="163"/>
    </row>
    <row r="86" spans="1:5" ht="20.25" customHeight="1">
      <c r="A86" s="183" t="s">
        <v>1173</v>
      </c>
      <c r="B86" s="183"/>
      <c r="D86" s="163"/>
      <c r="E86" s="163"/>
    </row>
    <row r="87" spans="1:5" ht="20.25" customHeight="1">
      <c r="A87" s="183" t="s">
        <v>1174</v>
      </c>
      <c r="B87" s="183"/>
      <c r="D87" s="163"/>
      <c r="E87" s="163"/>
    </row>
    <row r="88" spans="1:5" ht="20.25" customHeight="1">
      <c r="A88" s="183" t="s">
        <v>1175</v>
      </c>
      <c r="B88" s="183"/>
      <c r="D88" s="163"/>
      <c r="E88" s="163"/>
    </row>
    <row r="89" spans="1:5" ht="20.25" customHeight="1">
      <c r="A89" s="183"/>
      <c r="B89" s="183"/>
      <c r="D89" s="163"/>
      <c r="E89" s="163"/>
    </row>
    <row r="90" spans="1:5" ht="20.25" customHeight="1">
      <c r="A90" s="184" t="s">
        <v>1176</v>
      </c>
      <c r="B90" s="183"/>
      <c r="D90" s="163"/>
      <c r="E90" s="163"/>
    </row>
    <row r="91" spans="1:5" ht="20.25" customHeight="1">
      <c r="A91" s="183" t="s">
        <v>1177</v>
      </c>
      <c r="B91" s="183"/>
      <c r="D91" s="163"/>
      <c r="E91" s="163"/>
    </row>
    <row r="92" spans="1:5" ht="20.25" customHeight="1">
      <c r="A92" s="183" t="s">
        <v>1178</v>
      </c>
      <c r="B92" s="183"/>
      <c r="D92" s="163"/>
      <c r="E92" s="163"/>
    </row>
    <row r="93" spans="1:5" ht="20.25" customHeight="1">
      <c r="A93" s="183" t="s">
        <v>1179</v>
      </c>
      <c r="B93" s="183"/>
    </row>
    <row r="94" spans="1:5" ht="20.25" customHeight="1">
      <c r="A94" s="183" t="s">
        <v>1180</v>
      </c>
      <c r="B94" s="183"/>
    </row>
    <row r="95" spans="1:5" ht="20.25" customHeight="1">
      <c r="A95" s="183" t="s">
        <v>1181</v>
      </c>
      <c r="B95" s="183"/>
    </row>
    <row r="96" spans="1:5" ht="15">
      <c r="A96" s="183" t="s">
        <v>1182</v>
      </c>
    </row>
  </sheetData>
  <mergeCells count="3">
    <mergeCell ref="A3:H3"/>
    <mergeCell ref="I3:O3"/>
    <mergeCell ref="A4:C4"/>
  </mergeCells>
  <phoneticPr fontId="2" type="noConversion"/>
  <hyperlinks>
    <hyperlink ref="A24" r:id="rId1"/>
  </hyperlinks>
  <printOptions horizontalCentered="1" verticalCentered="1"/>
  <pageMargins left="0" right="0" top="0" bottom="0" header="0.31496062992125984" footer="0.31496062992125984"/>
  <pageSetup paperSize="9" scale="60" orientation="landscape" horizontalDpi="4294967293"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96"/>
  <sheetViews>
    <sheetView showGridLines="0" zoomScaleNormal="100" workbookViewId="0">
      <selection activeCell="C21" sqref="C21"/>
    </sheetView>
  </sheetViews>
  <sheetFormatPr defaultColWidth="9" defaultRowHeight="14.25"/>
  <cols>
    <col min="1" max="1" width="21.5" style="61" customWidth="1"/>
    <col min="2" max="2" width="31.75" style="61" customWidth="1"/>
    <col min="3" max="3" width="21.375" style="61" customWidth="1"/>
    <col min="4" max="4" width="14.5" style="61" customWidth="1"/>
    <col min="5" max="5" width="11.75" style="61" customWidth="1"/>
    <col min="6" max="6" width="32.5" style="61" customWidth="1"/>
    <col min="7" max="8" width="18.375" style="61" customWidth="1"/>
    <col min="9" max="9" width="9" style="61"/>
    <col min="10" max="15" width="17.625" style="61" customWidth="1"/>
    <col min="16" max="16384" width="9" style="61"/>
  </cols>
  <sheetData>
    <row r="2" spans="1:15">
      <c r="A2" s="62"/>
      <c r="B2" s="62"/>
      <c r="C2" s="62"/>
      <c r="D2" s="62"/>
      <c r="E2" s="62"/>
      <c r="F2" s="62"/>
      <c r="G2" s="62"/>
      <c r="H2" s="62"/>
    </row>
    <row r="3" spans="1:15">
      <c r="A3" s="219"/>
      <c r="B3" s="219"/>
      <c r="C3" s="219"/>
      <c r="D3" s="219"/>
      <c r="E3" s="219"/>
      <c r="F3" s="219"/>
      <c r="G3" s="219"/>
      <c r="H3" s="219"/>
      <c r="I3" s="219"/>
      <c r="J3" s="219"/>
      <c r="K3" s="219"/>
      <c r="L3" s="219"/>
      <c r="M3" s="219"/>
      <c r="N3" s="219"/>
      <c r="O3" s="219"/>
    </row>
    <row r="4" spans="1:15" ht="41.25" customHeight="1" thickBot="1">
      <c r="A4" s="220" t="s">
        <v>1257</v>
      </c>
      <c r="B4" s="220"/>
      <c r="C4" s="220"/>
      <c r="D4" s="63"/>
      <c r="E4" s="63"/>
      <c r="F4" s="63"/>
      <c r="G4" s="63"/>
      <c r="H4" s="63"/>
    </row>
    <row r="5" spans="1:15" ht="15" hidden="1" thickBot="1"/>
    <row r="6" spans="1:15" ht="15" hidden="1" thickBot="1"/>
    <row r="7" spans="1:15" ht="38.25" thickBot="1">
      <c r="A7" s="168" t="s">
        <v>1143</v>
      </c>
      <c r="B7" s="169" t="s">
        <v>1152</v>
      </c>
      <c r="C7" s="170" t="s">
        <v>1154</v>
      </c>
      <c r="D7" s="171" t="s">
        <v>1144</v>
      </c>
      <c r="E7" s="186" t="s">
        <v>1187</v>
      </c>
      <c r="F7" s="172" t="s">
        <v>1153</v>
      </c>
    </row>
    <row r="8" spans="1:15" ht="22.5" customHeight="1" thickTop="1">
      <c r="A8" s="173" t="s">
        <v>1145</v>
      </c>
      <c r="B8" s="214" t="s">
        <v>1261</v>
      </c>
      <c r="C8" s="164">
        <v>206.07900000000001</v>
      </c>
      <c r="D8" s="165">
        <v>84510970</v>
      </c>
      <c r="E8" s="187" t="s">
        <v>1185</v>
      </c>
      <c r="F8" s="189" t="s">
        <v>1189</v>
      </c>
    </row>
    <row r="9" spans="1:15" ht="22.5" customHeight="1">
      <c r="A9" s="174" t="s">
        <v>1147</v>
      </c>
      <c r="B9" s="209" t="s">
        <v>1262</v>
      </c>
      <c r="C9" s="166"/>
      <c r="D9" s="167">
        <v>21708790</v>
      </c>
      <c r="E9" s="188" t="s">
        <v>1185</v>
      </c>
      <c r="F9" s="190" t="s">
        <v>1188</v>
      </c>
    </row>
    <row r="10" spans="1:15" ht="22.5" customHeight="1">
      <c r="A10" s="174" t="s">
        <v>1148</v>
      </c>
      <c r="B10" s="209" t="s">
        <v>1263</v>
      </c>
      <c r="C10" s="166"/>
      <c r="D10" s="167">
        <v>1604720</v>
      </c>
      <c r="E10" s="188" t="s">
        <v>1185</v>
      </c>
      <c r="F10" s="190" t="s">
        <v>1190</v>
      </c>
    </row>
    <row r="11" spans="1:15" ht="22.5" customHeight="1">
      <c r="A11" s="176"/>
      <c r="B11" s="166"/>
      <c r="C11" s="166"/>
      <c r="D11" s="167"/>
      <c r="E11" s="188"/>
      <c r="F11" s="175"/>
    </row>
    <row r="12" spans="1:15" ht="22.5" customHeight="1">
      <c r="A12" s="176" t="s">
        <v>1155</v>
      </c>
      <c r="B12" s="209" t="s">
        <v>1264</v>
      </c>
      <c r="C12" s="166"/>
      <c r="D12" s="167"/>
      <c r="E12" s="188"/>
      <c r="F12" s="192" t="s">
        <v>1192</v>
      </c>
    </row>
    <row r="13" spans="1:15" ht="22.5" customHeight="1">
      <c r="A13" s="176" t="s">
        <v>1156</v>
      </c>
      <c r="B13" s="213" t="s">
        <v>1260</v>
      </c>
      <c r="C13" s="166"/>
      <c r="D13" s="167"/>
      <c r="E13" s="188"/>
      <c r="F13" s="192" t="s">
        <v>1192</v>
      </c>
    </row>
    <row r="14" spans="1:15" ht="22.5" customHeight="1">
      <c r="A14" s="176" t="s">
        <v>1157</v>
      </c>
      <c r="B14" s="212" t="s">
        <v>1258</v>
      </c>
      <c r="C14" s="166"/>
      <c r="D14" s="167"/>
      <c r="E14" s="188"/>
      <c r="F14" s="191" t="s">
        <v>1191</v>
      </c>
    </row>
    <row r="15" spans="1:15" ht="22.5" customHeight="1">
      <c r="A15" s="176" t="s">
        <v>1158</v>
      </c>
      <c r="B15" s="209" t="s">
        <v>1259</v>
      </c>
      <c r="C15" s="166"/>
      <c r="D15" s="167"/>
      <c r="E15" s="188"/>
      <c r="F15" s="175" t="s">
        <v>1196</v>
      </c>
    </row>
    <row r="16" spans="1:15" ht="22.5" customHeight="1">
      <c r="A16" s="176"/>
      <c r="B16" s="166"/>
      <c r="C16" s="166"/>
      <c r="D16" s="167"/>
      <c r="E16" s="188"/>
      <c r="F16" s="175"/>
    </row>
    <row r="17" spans="1:6" ht="22.5" customHeight="1">
      <c r="A17" s="176" t="s">
        <v>1159</v>
      </c>
      <c r="B17" s="209" t="s">
        <v>1255</v>
      </c>
      <c r="C17" s="209">
        <v>38.201000000000001</v>
      </c>
      <c r="D17" s="215">
        <v>22860635</v>
      </c>
      <c r="E17" s="188" t="s">
        <v>1184</v>
      </c>
      <c r="F17" s="190" t="s">
        <v>1195</v>
      </c>
    </row>
    <row r="18" spans="1:6" ht="22.5" customHeight="1" thickBot="1">
      <c r="A18" s="177" t="s">
        <v>1151</v>
      </c>
      <c r="B18" s="210" t="s">
        <v>1256</v>
      </c>
      <c r="C18" s="211">
        <v>33.414000000000001</v>
      </c>
      <c r="D18" s="216">
        <v>19100000</v>
      </c>
      <c r="E18" s="193" t="s">
        <v>1184</v>
      </c>
      <c r="F18" s="194" t="s">
        <v>1194</v>
      </c>
    </row>
    <row r="19" spans="1:6" ht="22.5" customHeight="1">
      <c r="A19" s="195"/>
      <c r="B19" s="196"/>
      <c r="C19" s="197"/>
      <c r="D19" s="198"/>
      <c r="E19" s="198"/>
      <c r="F19" s="199"/>
    </row>
    <row r="20" spans="1:6">
      <c r="D20" s="163"/>
      <c r="E20" s="163"/>
    </row>
    <row r="21" spans="1:6" ht="31.5">
      <c r="A21" s="201" t="s">
        <v>1197</v>
      </c>
      <c r="D21" s="163"/>
      <c r="E21" s="163"/>
    </row>
    <row r="22" spans="1:6">
      <c r="D22" s="163"/>
      <c r="E22" s="163"/>
    </row>
    <row r="23" spans="1:6">
      <c r="A23" s="200" t="s">
        <v>1198</v>
      </c>
      <c r="D23" s="163"/>
      <c r="E23" s="163"/>
    </row>
    <row r="24" spans="1:6" ht="16.5">
      <c r="A24" s="202" t="s">
        <v>1200</v>
      </c>
      <c r="D24" s="163"/>
      <c r="E24" s="163"/>
    </row>
    <row r="25" spans="1:6">
      <c r="D25" s="163"/>
      <c r="E25" s="163"/>
    </row>
    <row r="26" spans="1:6">
      <c r="D26" s="163"/>
      <c r="E26" s="163"/>
    </row>
    <row r="27" spans="1:6">
      <c r="D27" s="163"/>
      <c r="E27" s="163"/>
    </row>
    <row r="28" spans="1:6">
      <c r="D28" s="163"/>
      <c r="E28" s="163"/>
    </row>
    <row r="29" spans="1:6">
      <c r="D29" s="163"/>
      <c r="E29" s="163"/>
    </row>
    <row r="30" spans="1:6">
      <c r="D30" s="163"/>
      <c r="E30" s="163"/>
    </row>
    <row r="31" spans="1:6">
      <c r="D31" s="163"/>
      <c r="E31" s="163"/>
    </row>
    <row r="32" spans="1:6">
      <c r="D32" s="163"/>
      <c r="E32" s="163"/>
    </row>
    <row r="33" spans="4:5">
      <c r="D33" s="163"/>
      <c r="E33" s="163"/>
    </row>
    <row r="34" spans="4:5">
      <c r="D34" s="163"/>
      <c r="E34" s="163"/>
    </row>
    <row r="35" spans="4:5">
      <c r="D35" s="163"/>
      <c r="E35" s="163"/>
    </row>
    <row r="36" spans="4:5">
      <c r="D36" s="163"/>
      <c r="E36" s="163"/>
    </row>
    <row r="37" spans="4:5">
      <c r="D37" s="163"/>
      <c r="E37" s="163"/>
    </row>
    <row r="38" spans="4:5">
      <c r="D38" s="163"/>
      <c r="E38" s="163"/>
    </row>
    <row r="39" spans="4:5">
      <c r="D39" s="163"/>
      <c r="E39" s="163"/>
    </row>
    <row r="40" spans="4:5">
      <c r="D40" s="163"/>
      <c r="E40" s="163"/>
    </row>
    <row r="41" spans="4:5">
      <c r="D41" s="163"/>
      <c r="E41" s="163"/>
    </row>
    <row r="42" spans="4:5">
      <c r="D42" s="163"/>
      <c r="E42" s="163"/>
    </row>
    <row r="43" spans="4:5">
      <c r="D43" s="163"/>
      <c r="E43" s="163"/>
    </row>
    <row r="44" spans="4:5">
      <c r="D44" s="163"/>
      <c r="E44" s="163"/>
    </row>
    <row r="45" spans="4:5">
      <c r="D45" s="163"/>
      <c r="E45" s="163"/>
    </row>
    <row r="46" spans="4:5">
      <c r="D46" s="163"/>
      <c r="E46" s="163"/>
    </row>
    <row r="47" spans="4:5">
      <c r="D47" s="163"/>
      <c r="E47" s="163"/>
    </row>
    <row r="48" spans="4:5">
      <c r="D48" s="163"/>
      <c r="E48" s="163"/>
    </row>
    <row r="49" spans="4:5">
      <c r="D49" s="163"/>
      <c r="E49" s="163"/>
    </row>
    <row r="50" spans="4:5">
      <c r="D50" s="163"/>
      <c r="E50" s="163"/>
    </row>
    <row r="51" spans="4:5">
      <c r="D51" s="163"/>
      <c r="E51" s="163"/>
    </row>
    <row r="52" spans="4:5">
      <c r="D52" s="163"/>
      <c r="E52" s="163"/>
    </row>
    <row r="53" spans="4:5">
      <c r="D53" s="163"/>
      <c r="E53" s="163"/>
    </row>
    <row r="54" spans="4:5">
      <c r="D54" s="163"/>
      <c r="E54" s="163"/>
    </row>
    <row r="55" spans="4:5">
      <c r="D55" s="163"/>
      <c r="E55" s="163"/>
    </row>
    <row r="56" spans="4:5">
      <c r="D56" s="163"/>
      <c r="E56" s="163"/>
    </row>
    <row r="57" spans="4:5">
      <c r="D57" s="163"/>
      <c r="E57" s="163"/>
    </row>
    <row r="58" spans="4:5">
      <c r="D58" s="163"/>
      <c r="E58" s="163"/>
    </row>
    <row r="59" spans="4:5">
      <c r="D59" s="163"/>
      <c r="E59" s="163"/>
    </row>
    <row r="60" spans="4:5">
      <c r="D60" s="163"/>
      <c r="E60" s="163"/>
    </row>
    <row r="61" spans="4:5">
      <c r="D61" s="163"/>
      <c r="E61" s="163"/>
    </row>
    <row r="62" spans="4:5">
      <c r="D62" s="163"/>
      <c r="E62" s="163"/>
    </row>
    <row r="63" spans="4:5">
      <c r="D63" s="163"/>
      <c r="E63" s="163"/>
    </row>
    <row r="64" spans="4:5">
      <c r="D64" s="163"/>
      <c r="E64" s="163"/>
    </row>
    <row r="65" spans="1:6">
      <c r="D65" s="163"/>
      <c r="E65" s="163"/>
    </row>
    <row r="66" spans="1:6">
      <c r="D66" s="163"/>
      <c r="E66" s="163"/>
    </row>
    <row r="67" spans="1:6">
      <c r="D67" s="163"/>
      <c r="E67" s="163"/>
    </row>
    <row r="68" spans="1:6">
      <c r="D68" s="163"/>
      <c r="E68" s="163"/>
    </row>
    <row r="69" spans="1:6">
      <c r="D69" s="163"/>
      <c r="E69" s="163"/>
    </row>
    <row r="70" spans="1:6" ht="15">
      <c r="A70" s="181" t="s">
        <v>1199</v>
      </c>
      <c r="D70" s="163"/>
      <c r="E70" s="163"/>
    </row>
    <row r="71" spans="1:6">
      <c r="D71" s="163"/>
      <c r="E71" s="163"/>
    </row>
    <row r="72" spans="1:6">
      <c r="D72" s="163"/>
      <c r="E72" s="163"/>
    </row>
    <row r="73" spans="1:6">
      <c r="D73" s="163"/>
      <c r="E73" s="163"/>
    </row>
    <row r="74" spans="1:6">
      <c r="D74" s="163"/>
      <c r="E74" s="163"/>
    </row>
    <row r="75" spans="1:6" ht="26.25">
      <c r="A75" s="182" t="s">
        <v>1164</v>
      </c>
      <c r="D75" s="163"/>
      <c r="E75" s="163"/>
    </row>
    <row r="76" spans="1:6" ht="20.25" customHeight="1">
      <c r="D76" s="163"/>
      <c r="E76" s="163"/>
      <c r="F76" s="163"/>
    </row>
    <row r="77" spans="1:6" ht="20.25" customHeight="1">
      <c r="A77" s="181" t="s">
        <v>1165</v>
      </c>
      <c r="B77" s="183"/>
      <c r="D77" s="163"/>
      <c r="E77" s="163"/>
    </row>
    <row r="78" spans="1:6" ht="20.25" customHeight="1">
      <c r="A78" s="183" t="s">
        <v>1166</v>
      </c>
      <c r="B78" s="183"/>
      <c r="D78" s="163"/>
      <c r="E78" s="163"/>
    </row>
    <row r="79" spans="1:6" ht="20.25" customHeight="1">
      <c r="A79" s="183" t="s">
        <v>1167</v>
      </c>
      <c r="B79" s="183"/>
      <c r="D79" s="163"/>
      <c r="E79" s="163"/>
    </row>
    <row r="80" spans="1:6" ht="20.25" customHeight="1">
      <c r="A80" s="183" t="s">
        <v>1168</v>
      </c>
      <c r="B80" s="183"/>
      <c r="D80" s="163"/>
      <c r="E80" s="163"/>
    </row>
    <row r="81" spans="1:5" ht="20.25" customHeight="1">
      <c r="A81" s="183" t="s">
        <v>1169</v>
      </c>
      <c r="B81" s="183"/>
      <c r="D81" s="163"/>
      <c r="E81" s="163"/>
    </row>
    <row r="82" spans="1:5" ht="20.25" customHeight="1">
      <c r="A82" s="183"/>
      <c r="B82" s="183"/>
      <c r="D82" s="163"/>
      <c r="E82" s="163"/>
    </row>
    <row r="83" spans="1:5" ht="20.25" customHeight="1">
      <c r="A83" s="184" t="s">
        <v>1170</v>
      </c>
      <c r="B83" s="183"/>
      <c r="D83" s="163"/>
      <c r="E83" s="163"/>
    </row>
    <row r="84" spans="1:5" ht="20.25" customHeight="1">
      <c r="A84" s="183" t="s">
        <v>1171</v>
      </c>
      <c r="B84" s="183"/>
      <c r="D84" s="163"/>
      <c r="E84" s="163"/>
    </row>
    <row r="85" spans="1:5" ht="20.25" customHeight="1">
      <c r="A85" s="183" t="s">
        <v>1172</v>
      </c>
      <c r="B85" s="183"/>
      <c r="D85" s="163"/>
      <c r="E85" s="163"/>
    </row>
    <row r="86" spans="1:5" ht="20.25" customHeight="1">
      <c r="A86" s="183" t="s">
        <v>1173</v>
      </c>
      <c r="B86" s="183"/>
      <c r="D86" s="163"/>
      <c r="E86" s="163"/>
    </row>
    <row r="87" spans="1:5" ht="20.25" customHeight="1">
      <c r="A87" s="183" t="s">
        <v>1174</v>
      </c>
      <c r="B87" s="183"/>
      <c r="D87" s="163"/>
      <c r="E87" s="163"/>
    </row>
    <row r="88" spans="1:5" ht="20.25" customHeight="1">
      <c r="A88" s="183" t="s">
        <v>1175</v>
      </c>
      <c r="B88" s="183"/>
      <c r="D88" s="163"/>
      <c r="E88" s="163"/>
    </row>
    <row r="89" spans="1:5" ht="20.25" customHeight="1">
      <c r="A89" s="183"/>
      <c r="B89" s="183"/>
      <c r="D89" s="163"/>
      <c r="E89" s="163"/>
    </row>
    <row r="90" spans="1:5" ht="20.25" customHeight="1">
      <c r="A90" s="184" t="s">
        <v>1176</v>
      </c>
      <c r="B90" s="183"/>
      <c r="D90" s="163"/>
      <c r="E90" s="163"/>
    </row>
    <row r="91" spans="1:5" ht="20.25" customHeight="1">
      <c r="A91" s="183" t="s">
        <v>1177</v>
      </c>
      <c r="B91" s="183"/>
      <c r="D91" s="163"/>
      <c r="E91" s="163"/>
    </row>
    <row r="92" spans="1:5" ht="20.25" customHeight="1">
      <c r="A92" s="183" t="s">
        <v>1178</v>
      </c>
      <c r="B92" s="183"/>
      <c r="D92" s="163"/>
      <c r="E92" s="163"/>
    </row>
    <row r="93" spans="1:5" ht="20.25" customHeight="1">
      <c r="A93" s="183" t="s">
        <v>1179</v>
      </c>
      <c r="B93" s="183"/>
    </row>
    <row r="94" spans="1:5" ht="20.25" customHeight="1">
      <c r="A94" s="183" t="s">
        <v>1180</v>
      </c>
      <c r="B94" s="183"/>
    </row>
    <row r="95" spans="1:5" ht="20.25" customHeight="1">
      <c r="A95" s="183" t="s">
        <v>1181</v>
      </c>
      <c r="B95" s="183"/>
    </row>
    <row r="96" spans="1:5" ht="15">
      <c r="A96" s="183" t="s">
        <v>1182</v>
      </c>
    </row>
  </sheetData>
  <mergeCells count="3">
    <mergeCell ref="A3:H3"/>
    <mergeCell ref="I3:O3"/>
    <mergeCell ref="A4:C4"/>
  </mergeCells>
  <phoneticPr fontId="2" type="noConversion"/>
  <hyperlinks>
    <hyperlink ref="A24" r:id="rId1"/>
  </hyperlinks>
  <printOptions horizontalCentered="1" verticalCentered="1"/>
  <pageMargins left="0" right="0" top="0" bottom="0" header="0.31496062992125984" footer="0.31496062992125984"/>
  <pageSetup paperSize="9" scale="60" orientation="landscape" horizontalDpi="4294967293"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showGridLines="0" topLeftCell="A116" zoomScale="70" zoomScaleNormal="70" workbookViewId="0">
      <selection activeCell="M24" sqref="M24"/>
    </sheetView>
  </sheetViews>
  <sheetFormatPr defaultRowHeight="16.5"/>
  <cols>
    <col min="1" max="1" width="2.75" customWidth="1"/>
    <col min="2" max="2" width="3.625" customWidth="1"/>
    <col min="3" max="3" width="19.375" customWidth="1"/>
    <col min="5" max="5" width="10.75" customWidth="1"/>
  </cols>
  <sheetData>
    <row r="1" spans="1:17" ht="26.25">
      <c r="A1" s="64" t="s">
        <v>840</v>
      </c>
      <c r="B1" s="11"/>
    </row>
    <row r="3" spans="1:17">
      <c r="A3" s="65" t="s">
        <v>841</v>
      </c>
    </row>
    <row r="4" spans="1:17">
      <c r="B4" s="221" t="s">
        <v>842</v>
      </c>
      <c r="C4" s="222"/>
      <c r="D4" s="66">
        <v>2023</v>
      </c>
      <c r="E4" s="11"/>
      <c r="F4" s="11"/>
      <c r="G4" s="11"/>
      <c r="H4" s="11"/>
      <c r="I4" s="11"/>
      <c r="J4" s="11"/>
      <c r="K4" s="11"/>
      <c r="L4" s="11"/>
      <c r="M4" s="11"/>
      <c r="N4" s="11"/>
      <c r="O4" s="11"/>
      <c r="P4" s="11"/>
      <c r="Q4" s="11"/>
    </row>
    <row r="5" spans="1:17" ht="33.75" customHeight="1">
      <c r="B5" s="221" t="s">
        <v>843</v>
      </c>
      <c r="C5" s="222"/>
      <c r="D5" s="223" t="s">
        <v>1040</v>
      </c>
      <c r="E5" s="226"/>
      <c r="F5" s="226"/>
      <c r="G5" s="226"/>
      <c r="H5" s="226"/>
      <c r="I5" s="226"/>
      <c r="J5" s="226"/>
      <c r="K5" s="226"/>
      <c r="L5" s="226"/>
      <c r="M5" s="226"/>
      <c r="N5" s="226"/>
      <c r="O5" s="226"/>
      <c r="P5" s="226"/>
      <c r="Q5" s="227"/>
    </row>
    <row r="6" spans="1:17" ht="34.5" customHeight="1">
      <c r="B6" s="221" t="s">
        <v>844</v>
      </c>
      <c r="C6" s="222"/>
      <c r="D6" s="223" t="s">
        <v>1041</v>
      </c>
      <c r="E6" s="226"/>
      <c r="F6" s="226"/>
      <c r="G6" s="226"/>
      <c r="H6" s="226"/>
      <c r="I6" s="226"/>
      <c r="J6" s="226"/>
      <c r="K6" s="226"/>
      <c r="L6" s="226"/>
      <c r="M6" s="226"/>
      <c r="N6" s="226"/>
      <c r="O6" s="226"/>
      <c r="P6" s="226"/>
      <c r="Q6" s="227"/>
    </row>
    <row r="7" spans="1:17" ht="37.5" customHeight="1">
      <c r="B7" s="221" t="s">
        <v>845</v>
      </c>
      <c r="C7" s="222"/>
      <c r="D7" s="223" t="s">
        <v>1042</v>
      </c>
      <c r="E7" s="224"/>
      <c r="F7" s="224"/>
      <c r="G7" s="224"/>
      <c r="H7" s="224"/>
      <c r="I7" s="224"/>
      <c r="J7" s="224"/>
      <c r="K7" s="224"/>
      <c r="L7" s="224"/>
      <c r="M7" s="224"/>
      <c r="N7" s="224"/>
      <c r="O7" s="224"/>
      <c r="P7" s="224"/>
      <c r="Q7" s="225"/>
    </row>
    <row r="9" spans="1:17">
      <c r="A9" s="65" t="s">
        <v>846</v>
      </c>
    </row>
    <row r="18" spans="4:12">
      <c r="F18" t="s">
        <v>959</v>
      </c>
      <c r="L18" s="128"/>
    </row>
    <row r="19" spans="4:12" ht="22.5" customHeight="1">
      <c r="L19" s="128"/>
    </row>
    <row r="21" spans="4:12">
      <c r="F21" t="s">
        <v>960</v>
      </c>
    </row>
    <row r="26" spans="4:12">
      <c r="D26" s="140" t="s">
        <v>1021</v>
      </c>
    </row>
    <row r="37" spans="10:17">
      <c r="L37" t="s">
        <v>961</v>
      </c>
    </row>
    <row r="42" spans="10:17">
      <c r="J42" s="140" t="s">
        <v>1022</v>
      </c>
    </row>
    <row r="47" spans="10:17">
      <c r="Q47" t="s">
        <v>958</v>
      </c>
    </row>
    <row r="70" spans="1:7">
      <c r="A70" s="65" t="s">
        <v>847</v>
      </c>
      <c r="B70" s="11"/>
      <c r="C70" s="11"/>
      <c r="D70" s="11"/>
      <c r="E70" s="11"/>
      <c r="F70" s="11"/>
      <c r="G70" s="11"/>
    </row>
    <row r="71" spans="1:7">
      <c r="A71" s="11"/>
      <c r="B71" s="11"/>
      <c r="C71" s="70"/>
      <c r="D71" s="67" t="s">
        <v>949</v>
      </c>
      <c r="E71" s="11"/>
      <c r="F71" s="11"/>
      <c r="G71" s="11"/>
    </row>
    <row r="72" spans="1:7">
      <c r="A72" s="11"/>
      <c r="B72" s="11"/>
      <c r="C72" s="68"/>
      <c r="D72" s="11" t="s">
        <v>848</v>
      </c>
      <c r="E72" s="11"/>
      <c r="F72" s="11"/>
      <c r="G72" s="11"/>
    </row>
    <row r="73" spans="1:7">
      <c r="A73" s="11"/>
      <c r="B73" s="11"/>
      <c r="C73" s="69"/>
      <c r="D73" s="11" t="s">
        <v>849</v>
      </c>
      <c r="E73" s="11"/>
      <c r="F73" s="11"/>
      <c r="G73" s="11"/>
    </row>
    <row r="74" spans="1:7">
      <c r="A74" s="11"/>
      <c r="B74" s="11"/>
      <c r="C74" s="12"/>
      <c r="D74" s="11" t="s">
        <v>850</v>
      </c>
      <c r="E74" s="11"/>
      <c r="F74" s="11"/>
      <c r="G74" s="11"/>
    </row>
    <row r="76" spans="1:7">
      <c r="C76" s="19" t="s">
        <v>962</v>
      </c>
      <c r="D76" s="11" t="s">
        <v>969</v>
      </c>
    </row>
  </sheetData>
  <mergeCells count="7">
    <mergeCell ref="B7:C7"/>
    <mergeCell ref="D7:Q7"/>
    <mergeCell ref="B4:C4"/>
    <mergeCell ref="B5:C5"/>
    <mergeCell ref="D5:Q5"/>
    <mergeCell ref="B6:C6"/>
    <mergeCell ref="D6:Q6"/>
  </mergeCells>
  <phoneticPr fontId="2" type="noConversion"/>
  <printOptions horizontalCentered="1" verticalCentered="1"/>
  <pageMargins left="0" right="0" top="0" bottom="0" header="0.31496062992125984" footer="0.31496062992125984"/>
  <pageSetup paperSize="9" scale="75" orientation="landscape"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topLeftCell="A48" zoomScale="70" zoomScaleNormal="70" workbookViewId="0">
      <selection activeCell="F39" sqref="F39"/>
    </sheetView>
  </sheetViews>
  <sheetFormatPr defaultRowHeight="16.5"/>
  <cols>
    <col min="1" max="1" width="26.125" customWidth="1"/>
    <col min="2" max="2" width="19.75" customWidth="1"/>
    <col min="3" max="3" width="12.75" customWidth="1"/>
    <col min="4" max="5" width="27.625" customWidth="1"/>
    <col min="6" max="6" width="26" customWidth="1"/>
    <col min="7" max="7" width="29" customWidth="1"/>
    <col min="9" max="9" width="16.125" customWidth="1"/>
  </cols>
  <sheetData>
    <row r="1" spans="1:15" ht="26.25">
      <c r="A1" s="137" t="s">
        <v>926</v>
      </c>
      <c r="B1" s="9"/>
      <c r="C1" s="11"/>
      <c r="D1" s="11"/>
      <c r="E1" s="11"/>
      <c r="F1" s="11"/>
      <c r="G1" s="11"/>
      <c r="I1" s="155" t="s">
        <v>1039</v>
      </c>
      <c r="J1" s="11"/>
      <c r="K1" s="11"/>
      <c r="L1" s="11"/>
      <c r="M1" s="11"/>
      <c r="N1" s="11"/>
      <c r="O1" s="11"/>
    </row>
    <row r="2" spans="1:15">
      <c r="A2" s="11" t="s">
        <v>927</v>
      </c>
      <c r="B2" s="11"/>
      <c r="C2" s="11"/>
      <c r="D2" s="11"/>
      <c r="E2" s="11"/>
      <c r="F2" s="11"/>
      <c r="G2" s="11"/>
      <c r="I2" s="70"/>
      <c r="J2" s="67" t="s">
        <v>949</v>
      </c>
      <c r="M2" s="11"/>
      <c r="N2" s="11"/>
      <c r="O2" s="11"/>
    </row>
    <row r="3" spans="1:15">
      <c r="A3" s="11"/>
      <c r="B3" s="11"/>
      <c r="C3" s="11"/>
      <c r="D3" s="11"/>
      <c r="E3" s="11"/>
      <c r="F3" s="11"/>
      <c r="G3" s="11"/>
      <c r="I3" s="68"/>
      <c r="J3" s="11" t="s">
        <v>848</v>
      </c>
      <c r="M3" s="11"/>
      <c r="N3" s="11"/>
      <c r="O3" s="11"/>
    </row>
    <row r="4" spans="1:15" ht="18">
      <c r="A4" s="95" t="s">
        <v>928</v>
      </c>
      <c r="B4" s="95"/>
      <c r="C4" s="11"/>
      <c r="D4" s="11"/>
      <c r="E4" s="11"/>
      <c r="F4" s="11" t="s">
        <v>929</v>
      </c>
      <c r="G4" s="11"/>
      <c r="I4" s="69"/>
      <c r="J4" s="11" t="s">
        <v>849</v>
      </c>
      <c r="M4" s="11"/>
      <c r="N4" s="11"/>
      <c r="O4" s="11"/>
    </row>
    <row r="5" spans="1:15" s="59" customFormat="1">
      <c r="A5" s="112"/>
      <c r="B5" s="113"/>
      <c r="C5" s="100" t="s">
        <v>930</v>
      </c>
      <c r="D5" s="228" t="s">
        <v>948</v>
      </c>
      <c r="E5" s="229"/>
      <c r="F5" s="228" t="s">
        <v>946</v>
      </c>
      <c r="G5" s="229"/>
      <c r="I5" s="12"/>
      <c r="J5" s="11" t="s">
        <v>850</v>
      </c>
      <c r="M5" s="11"/>
      <c r="N5" s="11"/>
      <c r="O5" s="11"/>
    </row>
    <row r="6" spans="1:15" s="59" customFormat="1">
      <c r="A6" s="114"/>
      <c r="B6" s="115"/>
      <c r="C6" s="102"/>
      <c r="D6" s="103" t="s">
        <v>970</v>
      </c>
      <c r="E6" s="103" t="s">
        <v>971</v>
      </c>
      <c r="F6" s="103" t="s">
        <v>970</v>
      </c>
      <c r="G6" s="103" t="s">
        <v>971</v>
      </c>
      <c r="I6"/>
      <c r="J6"/>
      <c r="M6"/>
      <c r="N6"/>
      <c r="O6"/>
    </row>
    <row r="7" spans="1:15">
      <c r="A7" s="116" t="s">
        <v>931</v>
      </c>
      <c r="B7" s="117"/>
      <c r="C7" s="107" t="s">
        <v>932</v>
      </c>
      <c r="D7" s="230">
        <f>Management!B21</f>
        <v>0</v>
      </c>
      <c r="E7" s="231"/>
      <c r="F7" s="232">
        <v>2023</v>
      </c>
      <c r="G7" s="233"/>
      <c r="I7" s="19" t="s">
        <v>962</v>
      </c>
      <c r="J7" s="11" t="s">
        <v>969</v>
      </c>
    </row>
    <row r="8" spans="1:15" ht="18.75">
      <c r="A8" s="116" t="s">
        <v>933</v>
      </c>
      <c r="B8" s="117"/>
      <c r="C8" s="108" t="s">
        <v>947</v>
      </c>
      <c r="D8" s="110">
        <f>Emissions!D5</f>
        <v>260</v>
      </c>
      <c r="E8" s="110">
        <f>Emissions!D27</f>
        <v>24.84</v>
      </c>
      <c r="F8" s="110">
        <f>Emissions!E5</f>
        <v>276</v>
      </c>
      <c r="G8" s="110">
        <f>Emissions!E27</f>
        <v>24.84</v>
      </c>
    </row>
    <row r="9" spans="1:15" ht="18.75">
      <c r="A9" s="118" t="s">
        <v>934</v>
      </c>
      <c r="B9" s="119"/>
      <c r="C9" s="108" t="s">
        <v>947</v>
      </c>
      <c r="D9" s="110">
        <f>Emissions!D6</f>
        <v>0</v>
      </c>
      <c r="E9" s="110">
        <f>Emissions!D28</f>
        <v>0</v>
      </c>
      <c r="F9" s="110">
        <f>Emissions!E6</f>
        <v>0</v>
      </c>
      <c r="G9" s="110">
        <f>Emissions!E28</f>
        <v>0</v>
      </c>
    </row>
    <row r="10" spans="1:15" ht="18.75">
      <c r="A10" s="118" t="s">
        <v>935</v>
      </c>
      <c r="B10" s="119"/>
      <c r="C10" s="108" t="s">
        <v>947</v>
      </c>
      <c r="D10" s="110">
        <f>Emissions!D7</f>
        <v>195</v>
      </c>
      <c r="E10" s="110">
        <f>Emissions!D29</f>
        <v>18</v>
      </c>
      <c r="F10" s="110">
        <f>Emissions!E7</f>
        <v>200</v>
      </c>
      <c r="G10" s="110">
        <f>Emissions!E29</f>
        <v>18</v>
      </c>
    </row>
    <row r="11" spans="1:15" ht="18.75">
      <c r="A11" s="124" t="s">
        <v>936</v>
      </c>
      <c r="B11" s="109" t="s">
        <v>7</v>
      </c>
      <c r="C11" s="108" t="s">
        <v>947</v>
      </c>
      <c r="D11" s="110">
        <f>Emissions!D8</f>
        <v>65</v>
      </c>
      <c r="E11" s="110">
        <f>Emissions!D30</f>
        <v>6.84</v>
      </c>
      <c r="F11" s="110">
        <f>Emissions!E8</f>
        <v>76</v>
      </c>
      <c r="G11" s="110">
        <f>Emissions!E30</f>
        <v>6.84</v>
      </c>
    </row>
    <row r="12" spans="1:15" ht="18.75">
      <c r="A12" s="125"/>
      <c r="B12" s="109" t="s">
        <v>35</v>
      </c>
      <c r="C12" s="108" t="s">
        <v>947</v>
      </c>
      <c r="D12" s="110">
        <f>Emissions!D9</f>
        <v>0</v>
      </c>
      <c r="E12" s="110">
        <f>Emissions!D31</f>
        <v>0</v>
      </c>
      <c r="F12" s="110">
        <f>Emissions!E9</f>
        <v>0</v>
      </c>
      <c r="G12" s="110">
        <f>Emissions!E31</f>
        <v>0</v>
      </c>
    </row>
    <row r="13" spans="1:15" ht="18.75">
      <c r="A13" s="125"/>
      <c r="B13" s="109" t="s">
        <v>857</v>
      </c>
      <c r="C13" s="108" t="s">
        <v>947</v>
      </c>
      <c r="D13" s="110">
        <f>Emissions!D10</f>
        <v>0</v>
      </c>
      <c r="E13" s="110">
        <f>Emissions!D32</f>
        <v>0</v>
      </c>
      <c r="F13" s="110">
        <f>Emissions!E10</f>
        <v>0</v>
      </c>
      <c r="G13" s="110">
        <f>Emissions!E32</f>
        <v>0</v>
      </c>
    </row>
    <row r="14" spans="1:15" ht="18.75">
      <c r="A14" s="126"/>
      <c r="B14" s="109" t="s">
        <v>870</v>
      </c>
      <c r="C14" s="108" t="s">
        <v>947</v>
      </c>
      <c r="D14" s="110">
        <f>Emissions!D11</f>
        <v>0</v>
      </c>
      <c r="E14" s="110">
        <f>Emissions!D33</f>
        <v>0</v>
      </c>
      <c r="F14" s="110">
        <f>Emissions!E11</f>
        <v>0</v>
      </c>
      <c r="G14" s="110">
        <f>Emissions!E33</f>
        <v>0</v>
      </c>
    </row>
    <row r="15" spans="1:15">
      <c r="A15" s="11"/>
      <c r="B15" s="11"/>
      <c r="C15" s="11"/>
      <c r="D15" s="11"/>
      <c r="E15" s="11"/>
      <c r="F15" s="11"/>
      <c r="G15" s="11"/>
    </row>
    <row r="16" spans="1:15" ht="17.25" customHeight="1">
      <c r="A16" s="95" t="s">
        <v>951</v>
      </c>
      <c r="B16" s="95"/>
      <c r="C16" s="11"/>
      <c r="D16" s="11"/>
      <c r="E16" s="11"/>
      <c r="F16" s="11"/>
      <c r="G16" s="11"/>
    </row>
    <row r="17" spans="1:7">
      <c r="A17" s="112"/>
      <c r="B17" s="113"/>
      <c r="C17" s="100" t="s">
        <v>930</v>
      </c>
      <c r="D17" s="101" t="s">
        <v>946</v>
      </c>
      <c r="E17" s="11"/>
      <c r="F17" s="11"/>
      <c r="G17" s="11"/>
    </row>
    <row r="18" spans="1:7">
      <c r="A18" s="120"/>
      <c r="B18" s="121"/>
      <c r="C18" s="102"/>
      <c r="D18" s="103" t="s">
        <v>971</v>
      </c>
      <c r="E18" s="11"/>
      <c r="F18" s="11"/>
      <c r="G18" s="11"/>
    </row>
    <row r="19" spans="1:7">
      <c r="A19" s="122" t="s">
        <v>943</v>
      </c>
      <c r="B19" s="123"/>
      <c r="C19" s="104" t="s">
        <v>944</v>
      </c>
      <c r="D19" s="99">
        <f>COUNTA(Product!B5:B200)</f>
        <v>19</v>
      </c>
      <c r="E19" s="11"/>
      <c r="F19" s="11"/>
      <c r="G19" s="11"/>
    </row>
    <row r="20" spans="1:7">
      <c r="A20" s="122" t="s">
        <v>945</v>
      </c>
      <c r="B20" s="123"/>
      <c r="C20" s="104" t="s">
        <v>944</v>
      </c>
      <c r="D20" s="99">
        <f>COUNTIF(Product!J:J,"Yes")</f>
        <v>0</v>
      </c>
      <c r="E20" s="11"/>
      <c r="F20" s="11"/>
      <c r="G20" s="11"/>
    </row>
    <row r="22" spans="1:7" ht="18">
      <c r="A22" s="95" t="s">
        <v>952</v>
      </c>
      <c r="B22" s="95"/>
      <c r="C22" s="11"/>
      <c r="D22" s="11"/>
      <c r="E22" s="11"/>
      <c r="F22" s="11"/>
      <c r="G22" s="11"/>
    </row>
    <row r="23" spans="1:7">
      <c r="A23" s="112"/>
      <c r="B23" s="113"/>
      <c r="C23" s="100" t="s">
        <v>930</v>
      </c>
      <c r="D23" s="101" t="s">
        <v>946</v>
      </c>
      <c r="E23" s="105" t="s">
        <v>972</v>
      </c>
      <c r="F23" s="106" t="s">
        <v>937</v>
      </c>
      <c r="G23" s="11"/>
    </row>
    <row r="24" spans="1:7">
      <c r="A24" s="120"/>
      <c r="B24" s="121"/>
      <c r="C24" s="102"/>
      <c r="D24" s="103" t="s">
        <v>971</v>
      </c>
      <c r="E24" s="102"/>
      <c r="F24" s="102"/>
      <c r="G24" s="11"/>
    </row>
    <row r="25" spans="1:7" ht="18.75">
      <c r="A25" s="116" t="s">
        <v>938</v>
      </c>
      <c r="B25" s="117"/>
      <c r="C25" s="108" t="s">
        <v>947</v>
      </c>
      <c r="D25" s="99">
        <f>Emissions!E39</f>
        <v>3.69</v>
      </c>
      <c r="E25" s="96" t="s">
        <v>953</v>
      </c>
      <c r="F25" s="96" t="s">
        <v>5</v>
      </c>
      <c r="G25" s="11"/>
    </row>
    <row r="26" spans="1:7" ht="18.75">
      <c r="A26" s="116" t="s">
        <v>939</v>
      </c>
      <c r="B26" s="117"/>
      <c r="C26" s="108" t="s">
        <v>947</v>
      </c>
      <c r="D26" s="99">
        <f>SUMIFS(Hybrid!J:J,Hybrid!B:B,"Energy")</f>
        <v>0</v>
      </c>
      <c r="E26" s="96" t="s">
        <v>956</v>
      </c>
      <c r="F26" s="96" t="s">
        <v>940</v>
      </c>
      <c r="G26" s="11"/>
    </row>
    <row r="27" spans="1:7" ht="18.75">
      <c r="A27" s="116" t="s">
        <v>941</v>
      </c>
      <c r="B27" s="117"/>
      <c r="C27" s="108" t="s">
        <v>947</v>
      </c>
      <c r="D27" s="99">
        <f>SUMIFS(Hybrid!J:J,Hybrid!B:B,"Waste")</f>
        <v>0</v>
      </c>
      <c r="E27" s="96" t="s">
        <v>956</v>
      </c>
      <c r="F27" s="96" t="s">
        <v>5</v>
      </c>
      <c r="G27" s="11"/>
    </row>
    <row r="28" spans="1:7" ht="18.75">
      <c r="A28" s="116" t="s">
        <v>942</v>
      </c>
      <c r="B28" s="117"/>
      <c r="C28" s="108" t="s">
        <v>947</v>
      </c>
      <c r="D28" s="99">
        <f>Emissions!E34</f>
        <v>0</v>
      </c>
      <c r="E28" s="96" t="s">
        <v>953</v>
      </c>
      <c r="F28" s="96" t="s">
        <v>5</v>
      </c>
      <c r="G28" s="11"/>
    </row>
    <row r="29" spans="1:7">
      <c r="A29" s="11"/>
      <c r="B29" s="11"/>
      <c r="C29" s="11"/>
      <c r="D29" s="11"/>
      <c r="E29" s="11"/>
      <c r="F29" s="11"/>
      <c r="G29" s="11"/>
    </row>
  </sheetData>
  <mergeCells count="4">
    <mergeCell ref="D5:E5"/>
    <mergeCell ref="F5:G5"/>
    <mergeCell ref="D7:E7"/>
    <mergeCell ref="F7:G7"/>
  </mergeCells>
  <phoneticPr fontId="2" type="noConversion"/>
  <pageMargins left="0" right="0" top="0.74803149606299213" bottom="0.74803149606299213" header="0.31496062992125984" footer="0.31496062992125984"/>
  <pageSetup paperSize="9" scale="60" orientation="landscape"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showGridLines="0" zoomScale="70" zoomScaleNormal="70" workbookViewId="0">
      <selection activeCell="D10" sqref="D10"/>
    </sheetView>
  </sheetViews>
  <sheetFormatPr defaultRowHeight="16.5"/>
  <cols>
    <col min="1" max="1" width="20.5" customWidth="1"/>
    <col min="2" max="2" width="18.875" style="7" customWidth="1"/>
    <col min="3" max="3" width="23.25" customWidth="1"/>
    <col min="4" max="4" width="31.875" style="7" customWidth="1"/>
    <col min="5" max="5" width="31.875" customWidth="1"/>
    <col min="6" max="6" width="31.25" customWidth="1"/>
    <col min="7" max="7" width="29.75" customWidth="1"/>
    <col min="8" max="8" width="34.5" customWidth="1"/>
  </cols>
  <sheetData>
    <row r="1" spans="1:11" ht="24" customHeight="1">
      <c r="A1" s="137" t="s">
        <v>0</v>
      </c>
      <c r="I1" s="155" t="s">
        <v>1039</v>
      </c>
    </row>
    <row r="2" spans="1:11" ht="12.75" customHeight="1">
      <c r="I2" s="60"/>
      <c r="J2" s="48" t="s">
        <v>839</v>
      </c>
      <c r="K2" s="37"/>
    </row>
    <row r="3" spans="1:11" ht="15.75" customHeight="1">
      <c r="A3" s="95" t="s">
        <v>23</v>
      </c>
      <c r="I3" s="49"/>
      <c r="J3" s="50" t="s">
        <v>626</v>
      </c>
      <c r="K3" s="37"/>
    </row>
    <row r="4" spans="1:11" ht="15.75" customHeight="1">
      <c r="A4" s="6"/>
      <c r="I4" s="51"/>
      <c r="J4" s="50" t="s">
        <v>627</v>
      </c>
      <c r="K4" s="37"/>
    </row>
    <row r="5" spans="1:11" s="37" customFormat="1" ht="15.75" customHeight="1">
      <c r="A5" s="32" t="s">
        <v>979</v>
      </c>
      <c r="B5" s="36"/>
      <c r="D5" s="38" t="s">
        <v>1049</v>
      </c>
      <c r="I5" s="52"/>
      <c r="J5" s="50" t="s">
        <v>628</v>
      </c>
    </row>
    <row r="6" spans="1:11" s="37" customFormat="1" ht="15.75" customHeight="1">
      <c r="A6" s="32"/>
      <c r="B6" s="36"/>
    </row>
    <row r="7" spans="1:11" s="37" customFormat="1" ht="15.75" customHeight="1">
      <c r="A7" s="32" t="s">
        <v>618</v>
      </c>
      <c r="B7" s="36"/>
      <c r="D7" s="36"/>
    </row>
    <row r="8" spans="1:11" s="37" customFormat="1" ht="39.6" customHeight="1">
      <c r="A8" s="33" t="s">
        <v>973</v>
      </c>
      <c r="B8" s="34" t="s">
        <v>974</v>
      </c>
      <c r="C8" s="34" t="s">
        <v>975</v>
      </c>
      <c r="D8" s="35" t="s">
        <v>976</v>
      </c>
      <c r="E8" s="35" t="s">
        <v>977</v>
      </c>
      <c r="F8" s="33" t="s">
        <v>978</v>
      </c>
    </row>
    <row r="9" spans="1:11" s="37" customFormat="1" ht="18" customHeight="1">
      <c r="A9" s="39" t="s">
        <v>1043</v>
      </c>
      <c r="B9" s="73">
        <v>2023</v>
      </c>
      <c r="C9" s="73">
        <v>2025</v>
      </c>
      <c r="D9" s="60">
        <v>200</v>
      </c>
      <c r="E9" s="60">
        <v>195</v>
      </c>
      <c r="F9" s="39" t="s">
        <v>1050</v>
      </c>
    </row>
    <row r="10" spans="1:11" s="37" customFormat="1" ht="18" customHeight="1">
      <c r="A10" s="39" t="s">
        <v>1051</v>
      </c>
      <c r="B10" s="73">
        <v>2023</v>
      </c>
      <c r="C10" s="73">
        <v>2025</v>
      </c>
      <c r="D10" s="60">
        <v>41.012</v>
      </c>
      <c r="E10" s="60">
        <v>35</v>
      </c>
      <c r="F10" s="39" t="s">
        <v>1050</v>
      </c>
    </row>
    <row r="11" spans="1:11" s="37" customFormat="1" ht="18" customHeight="1">
      <c r="A11" s="39"/>
      <c r="B11" s="73"/>
      <c r="C11" s="73"/>
      <c r="D11" s="60"/>
      <c r="E11" s="60"/>
      <c r="F11" s="39"/>
    </row>
    <row r="12" spans="1:11" s="37" customFormat="1" ht="18" customHeight="1">
      <c r="A12" s="32"/>
      <c r="B12" s="36"/>
      <c r="D12" s="36"/>
    </row>
    <row r="13" spans="1:11" s="37" customFormat="1" ht="18" customHeight="1">
      <c r="A13" s="32" t="s">
        <v>980</v>
      </c>
      <c r="B13" s="36"/>
      <c r="D13" s="36"/>
      <c r="E13" s="38" t="s">
        <v>1044</v>
      </c>
    </row>
    <row r="14" spans="1:11" s="37" customFormat="1" ht="18" customHeight="1">
      <c r="A14" s="32"/>
      <c r="B14" s="36"/>
      <c r="D14" s="36"/>
    </row>
    <row r="15" spans="1:11" ht="18" customHeight="1">
      <c r="A15" s="95" t="s">
        <v>24</v>
      </c>
    </row>
    <row r="16" spans="1:11" ht="18" customHeight="1">
      <c r="A16" s="6"/>
    </row>
    <row r="17" spans="1:9" s="37" customFormat="1" ht="18" customHeight="1">
      <c r="A17" s="32" t="s">
        <v>981</v>
      </c>
      <c r="B17" s="36"/>
      <c r="D17" s="38" t="s">
        <v>1049</v>
      </c>
    </row>
    <row r="18" spans="1:9" s="37" customFormat="1" ht="18" customHeight="1">
      <c r="A18" s="32"/>
      <c r="B18" s="36"/>
    </row>
    <row r="19" spans="1:9" s="37" customFormat="1" ht="18" customHeight="1">
      <c r="A19" s="32" t="s">
        <v>619</v>
      </c>
      <c r="B19" s="36"/>
      <c r="D19" s="36"/>
    </row>
    <row r="20" spans="1:9" s="37" customFormat="1" ht="36">
      <c r="A20" s="33" t="s">
        <v>982</v>
      </c>
      <c r="B20" s="34" t="s">
        <v>974</v>
      </c>
      <c r="C20" s="34" t="s">
        <v>983</v>
      </c>
      <c r="D20" s="35" t="s">
        <v>976</v>
      </c>
      <c r="E20" s="35" t="s">
        <v>984</v>
      </c>
      <c r="F20" s="35" t="s">
        <v>985</v>
      </c>
      <c r="G20" s="35" t="s">
        <v>986</v>
      </c>
      <c r="H20" s="33" t="s">
        <v>987</v>
      </c>
    </row>
    <row r="21" spans="1:9" s="37" customFormat="1" ht="17.25">
      <c r="A21" s="39"/>
      <c r="B21" s="73"/>
      <c r="C21" s="73"/>
      <c r="D21" s="73"/>
      <c r="E21" s="73"/>
      <c r="F21" s="73"/>
      <c r="G21" s="73"/>
      <c r="H21" s="39"/>
    </row>
    <row r="22" spans="1:9" s="37" customFormat="1" ht="17.25">
      <c r="A22" s="39"/>
      <c r="B22" s="73"/>
      <c r="C22" s="73"/>
      <c r="D22" s="73"/>
      <c r="E22" s="73"/>
      <c r="F22" s="73"/>
      <c r="G22" s="73"/>
      <c r="H22" s="39"/>
    </row>
    <row r="23" spans="1:9" s="37" customFormat="1" ht="17.25">
      <c r="A23" s="39"/>
      <c r="B23" s="73"/>
      <c r="C23" s="73"/>
      <c r="D23" s="73"/>
      <c r="E23" s="73"/>
      <c r="F23" s="73"/>
      <c r="G23" s="73"/>
      <c r="H23" s="39"/>
    </row>
    <row r="24" spans="1:9" s="37" customFormat="1" ht="15" customHeight="1">
      <c r="B24" s="36"/>
      <c r="D24" s="36"/>
    </row>
    <row r="25" spans="1:9" s="37" customFormat="1" ht="17.25">
      <c r="A25" s="32" t="s">
        <v>988</v>
      </c>
      <c r="B25" s="36"/>
      <c r="D25" s="36"/>
      <c r="E25" s="38" t="s">
        <v>1045</v>
      </c>
    </row>
    <row r="26" spans="1:9" s="37" customFormat="1" ht="23.25" customHeight="1">
      <c r="B26" s="36"/>
      <c r="D26" s="36"/>
    </row>
    <row r="27" spans="1:9" ht="18">
      <c r="A27" s="95" t="s">
        <v>25</v>
      </c>
    </row>
    <row r="28" spans="1:9" ht="7.5" customHeight="1">
      <c r="A28" s="6"/>
    </row>
    <row r="29" spans="1:9" s="37" customFormat="1" ht="17.25">
      <c r="A29" s="32" t="s">
        <v>989</v>
      </c>
      <c r="B29" s="36"/>
      <c r="D29" s="38" t="s">
        <v>1049</v>
      </c>
    </row>
    <row r="30" spans="1:9" s="37" customFormat="1" ht="9.9499999999999993" customHeight="1">
      <c r="A30" s="32"/>
      <c r="B30" s="36"/>
    </row>
    <row r="31" spans="1:9" s="37" customFormat="1" ht="17.25">
      <c r="A31" s="32" t="s">
        <v>621</v>
      </c>
      <c r="B31" s="36"/>
      <c r="D31" s="36"/>
    </row>
    <row r="32" spans="1:9" s="37" customFormat="1" ht="34.5">
      <c r="A32" s="33" t="s">
        <v>990</v>
      </c>
      <c r="B32" s="33" t="s">
        <v>991</v>
      </c>
      <c r="C32" s="34" t="s">
        <v>992</v>
      </c>
      <c r="D32" s="34" t="s">
        <v>983</v>
      </c>
      <c r="E32" s="35" t="s">
        <v>993</v>
      </c>
      <c r="F32" s="40" t="s">
        <v>994</v>
      </c>
      <c r="G32" s="35" t="s">
        <v>995</v>
      </c>
      <c r="H32" s="35" t="s">
        <v>996</v>
      </c>
      <c r="I32" s="37" t="s">
        <v>620</v>
      </c>
    </row>
    <row r="33" spans="1:8" s="37" customFormat="1" ht="17.25">
      <c r="A33" s="41" t="s">
        <v>27</v>
      </c>
      <c r="B33" s="73"/>
      <c r="C33" s="73"/>
      <c r="D33" s="73"/>
      <c r="E33" s="73"/>
      <c r="F33" s="73"/>
      <c r="G33" s="73"/>
      <c r="H33" s="73"/>
    </row>
    <row r="34" spans="1:8" s="37" customFormat="1" ht="16.5" customHeight="1">
      <c r="B34" s="36"/>
      <c r="D34" s="36"/>
    </row>
    <row r="35" spans="1:8" s="37" customFormat="1" ht="17.25">
      <c r="A35" s="32" t="s">
        <v>997</v>
      </c>
      <c r="B35" s="36"/>
      <c r="D35" s="38" t="s">
        <v>1045</v>
      </c>
    </row>
    <row r="36" spans="1:8" s="37" customFormat="1" ht="17.25">
      <c r="A36" s="32"/>
      <c r="B36" s="36"/>
      <c r="D36" s="36"/>
    </row>
  </sheetData>
  <phoneticPr fontId="2" type="noConversion"/>
  <dataValidations count="4">
    <dataValidation type="list" allowBlank="1" showInputMessage="1" showErrorMessage="1" sqref="A9:A11 A21:A23">
      <formula1>"Scope 1+2+3, Scope 1+2, Scope 3"</formula1>
    </dataValidation>
    <dataValidation type="list" allowBlank="1" showInputMessage="1" showErrorMessage="1" sqref="D29 D5 D17">
      <formula1>"Yes, No"</formula1>
    </dataValidation>
    <dataValidation type="list" allowBlank="1" showInputMessage="1" showErrorMessage="1" sqref="D35 E25 E13">
      <formula1>"Not yet, Within this year, In 2 years "</formula1>
    </dataValidation>
    <dataValidation type="list" allowBlank="1" showInputMessage="1" showErrorMessage="1" sqref="F9:F11 H21:H23">
      <formula1>"Yes, Not yet but will be validated in 2 years, Not yet but planning, No plan "</formula1>
    </dataValidation>
  </dataValidations>
  <pageMargins left="0" right="0" top="0" bottom="0" header="0.31496062992125984" footer="0.31496062992125984"/>
  <pageSetup paperSize="9" scale="60" orientation="landscape"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showGridLines="0" zoomScale="85" zoomScaleNormal="85" workbookViewId="0">
      <selection activeCell="E34" sqref="E34"/>
    </sheetView>
  </sheetViews>
  <sheetFormatPr defaultRowHeight="16.5"/>
  <cols>
    <col min="1" max="1" width="9" customWidth="1"/>
    <col min="2" max="2" width="16.125" customWidth="1"/>
    <col min="3" max="4" width="22.75" customWidth="1"/>
    <col min="5" max="6" width="24.375" customWidth="1"/>
    <col min="7" max="7" width="35.625" customWidth="1"/>
    <col min="8" max="8" width="6.25" style="57" customWidth="1"/>
    <col min="9" max="9" width="9.875" customWidth="1"/>
  </cols>
  <sheetData>
    <row r="1" spans="1:9" ht="26.25">
      <c r="A1" s="137" t="s">
        <v>1</v>
      </c>
    </row>
    <row r="3" spans="1:9" ht="18">
      <c r="A3" s="95" t="s">
        <v>29</v>
      </c>
      <c r="E3" s="127"/>
      <c r="F3" s="127"/>
    </row>
    <row r="4" spans="1:9" ht="34.5">
      <c r="A4" s="5" t="s">
        <v>2</v>
      </c>
      <c r="B4" s="5" t="s">
        <v>6</v>
      </c>
      <c r="C4" s="5" t="s">
        <v>1048</v>
      </c>
      <c r="D4" s="97" t="s">
        <v>998</v>
      </c>
      <c r="E4" s="97" t="s">
        <v>1000</v>
      </c>
      <c r="F4" s="97" t="s">
        <v>1036</v>
      </c>
      <c r="G4" s="97" t="s">
        <v>999</v>
      </c>
      <c r="I4" s="59" t="s">
        <v>838</v>
      </c>
    </row>
    <row r="5" spans="1:9">
      <c r="A5" s="44" t="s">
        <v>7</v>
      </c>
      <c r="B5" s="45"/>
      <c r="C5" s="45"/>
      <c r="D5" s="129">
        <f>D6+D7+D8</f>
        <v>260</v>
      </c>
      <c r="E5" s="129">
        <f>E6+E7+E8</f>
        <v>276</v>
      </c>
      <c r="F5" s="141"/>
      <c r="G5" s="142"/>
      <c r="I5" t="s">
        <v>822</v>
      </c>
    </row>
    <row r="6" spans="1:9">
      <c r="A6" s="85" t="s">
        <v>3</v>
      </c>
      <c r="B6" s="83" t="s">
        <v>7</v>
      </c>
      <c r="C6" s="31" t="s">
        <v>1055</v>
      </c>
      <c r="D6" s="130"/>
      <c r="E6" s="130"/>
      <c r="F6" s="31" t="s">
        <v>1052</v>
      </c>
      <c r="G6" s="78"/>
      <c r="I6" s="58" t="s">
        <v>823</v>
      </c>
    </row>
    <row r="7" spans="1:9">
      <c r="A7" s="84" t="s">
        <v>4</v>
      </c>
      <c r="B7" s="83" t="s">
        <v>7</v>
      </c>
      <c r="C7" s="31" t="s">
        <v>1056</v>
      </c>
      <c r="D7" s="130">
        <v>195</v>
      </c>
      <c r="E7" s="130">
        <v>200</v>
      </c>
      <c r="F7" s="31" t="s">
        <v>1052</v>
      </c>
      <c r="G7" s="78"/>
      <c r="I7" s="58" t="s">
        <v>824</v>
      </c>
    </row>
    <row r="8" spans="1:9">
      <c r="A8" s="85" t="s">
        <v>5</v>
      </c>
      <c r="B8" s="44" t="s">
        <v>7</v>
      </c>
      <c r="C8" s="46"/>
      <c r="D8" s="131">
        <f t="shared" ref="D8:E8" si="0">SUM(D9:D23)</f>
        <v>65</v>
      </c>
      <c r="E8" s="131">
        <f t="shared" si="0"/>
        <v>76</v>
      </c>
      <c r="F8" s="143"/>
      <c r="G8" s="144"/>
      <c r="I8" s="58" t="s">
        <v>825</v>
      </c>
    </row>
    <row r="9" spans="1:9">
      <c r="A9" s="3"/>
      <c r="B9" s="1" t="s">
        <v>8</v>
      </c>
      <c r="C9" s="31" t="s">
        <v>1047</v>
      </c>
      <c r="D9" s="130"/>
      <c r="E9" s="130"/>
      <c r="F9" s="31"/>
      <c r="G9" s="31"/>
      <c r="I9" s="58" t="s">
        <v>826</v>
      </c>
    </row>
    <row r="10" spans="1:9">
      <c r="A10" s="3"/>
      <c r="B10" s="1" t="s">
        <v>9</v>
      </c>
      <c r="C10" s="31" t="s">
        <v>1047</v>
      </c>
      <c r="D10" s="130"/>
      <c r="E10" s="130"/>
      <c r="F10" s="31"/>
      <c r="G10" s="31"/>
      <c r="I10" s="58" t="s">
        <v>827</v>
      </c>
    </row>
    <row r="11" spans="1:9">
      <c r="A11" s="3"/>
      <c r="B11" s="1" t="s">
        <v>10</v>
      </c>
      <c r="C11" s="31" t="s">
        <v>1047</v>
      </c>
      <c r="D11" s="130"/>
      <c r="E11" s="130"/>
      <c r="F11" s="31"/>
      <c r="G11" s="31"/>
      <c r="I11" s="58" t="s">
        <v>828</v>
      </c>
    </row>
    <row r="12" spans="1:9">
      <c r="A12" s="3"/>
      <c r="B12" s="1" t="s">
        <v>11</v>
      </c>
      <c r="C12" s="31" t="s">
        <v>1047</v>
      </c>
      <c r="D12" s="130"/>
      <c r="E12" s="130"/>
      <c r="F12" s="31"/>
      <c r="G12" s="31"/>
      <c r="I12" s="58" t="s">
        <v>829</v>
      </c>
    </row>
    <row r="13" spans="1:9">
      <c r="A13" s="3"/>
      <c r="B13" s="1" t="s">
        <v>12</v>
      </c>
      <c r="C13" s="31" t="s">
        <v>1047</v>
      </c>
      <c r="D13" s="130"/>
      <c r="E13" s="130"/>
      <c r="F13" s="31"/>
      <c r="G13" s="31"/>
      <c r="I13" s="58" t="s">
        <v>830</v>
      </c>
    </row>
    <row r="14" spans="1:9">
      <c r="A14" s="3"/>
      <c r="B14" s="1" t="s">
        <v>13</v>
      </c>
      <c r="C14" s="31" t="s">
        <v>1047</v>
      </c>
      <c r="D14" s="130"/>
      <c r="E14" s="130"/>
      <c r="F14" s="31"/>
      <c r="G14" s="31"/>
      <c r="I14" s="58" t="s">
        <v>831</v>
      </c>
    </row>
    <row r="15" spans="1:9">
      <c r="A15" s="3"/>
      <c r="B15" s="1" t="s">
        <v>14</v>
      </c>
      <c r="C15" s="31" t="s">
        <v>1046</v>
      </c>
      <c r="D15" s="130">
        <v>30</v>
      </c>
      <c r="E15" s="130">
        <v>35</v>
      </c>
      <c r="F15" s="31" t="s">
        <v>1052</v>
      </c>
      <c r="G15" s="31" t="s">
        <v>1057</v>
      </c>
      <c r="H15"/>
      <c r="I15" s="58" t="s">
        <v>832</v>
      </c>
    </row>
    <row r="16" spans="1:9">
      <c r="A16" s="3"/>
      <c r="B16" s="1" t="s">
        <v>15</v>
      </c>
      <c r="C16" s="31" t="s">
        <v>1047</v>
      </c>
      <c r="D16" s="130"/>
      <c r="E16" s="130"/>
      <c r="F16" s="31"/>
      <c r="G16" s="31"/>
      <c r="H16"/>
      <c r="I16" s="58" t="s">
        <v>833</v>
      </c>
    </row>
    <row r="17" spans="1:10">
      <c r="A17" s="3"/>
      <c r="B17" s="1" t="s">
        <v>16</v>
      </c>
      <c r="C17" s="31" t="s">
        <v>1046</v>
      </c>
      <c r="D17" s="130">
        <v>35</v>
      </c>
      <c r="E17" s="130">
        <v>41</v>
      </c>
      <c r="F17" s="31" t="s">
        <v>1052</v>
      </c>
      <c r="G17" s="31" t="s">
        <v>851</v>
      </c>
      <c r="H17"/>
      <c r="I17" s="58" t="s">
        <v>834</v>
      </c>
    </row>
    <row r="18" spans="1:10">
      <c r="A18" s="3"/>
      <c r="B18" s="1" t="s">
        <v>17</v>
      </c>
      <c r="C18" s="31" t="s">
        <v>1047</v>
      </c>
      <c r="D18" s="130"/>
      <c r="E18" s="130"/>
      <c r="F18" s="31"/>
      <c r="G18" s="31"/>
      <c r="H18"/>
      <c r="I18" s="58" t="s">
        <v>835</v>
      </c>
    </row>
    <row r="19" spans="1:10">
      <c r="A19" s="3"/>
      <c r="B19" s="1" t="s">
        <v>18</v>
      </c>
      <c r="C19" s="31" t="s">
        <v>1047</v>
      </c>
      <c r="D19" s="130"/>
      <c r="E19" s="130"/>
      <c r="F19" s="31"/>
      <c r="G19" s="74"/>
      <c r="H19"/>
      <c r="I19" s="58" t="s">
        <v>836</v>
      </c>
    </row>
    <row r="20" spans="1:10">
      <c r="A20" s="3"/>
      <c r="B20" s="1" t="s">
        <v>19</v>
      </c>
      <c r="C20" s="31" t="s">
        <v>1047</v>
      </c>
      <c r="E20" s="130"/>
      <c r="F20" s="31"/>
      <c r="G20" s="74"/>
      <c r="H20"/>
      <c r="I20" s="58" t="s">
        <v>837</v>
      </c>
    </row>
    <row r="21" spans="1:10">
      <c r="A21" s="3"/>
      <c r="B21" s="1" t="s">
        <v>20</v>
      </c>
      <c r="C21" s="31" t="s">
        <v>1047</v>
      </c>
      <c r="D21" s="130"/>
      <c r="E21" s="130"/>
      <c r="F21" s="31"/>
      <c r="G21" s="31"/>
      <c r="H21"/>
      <c r="I21" s="155" t="s">
        <v>1039</v>
      </c>
    </row>
    <row r="22" spans="1:10" ht="17.25">
      <c r="A22" s="3"/>
      <c r="B22" s="1" t="s">
        <v>21</v>
      </c>
      <c r="C22" s="31" t="s">
        <v>1047</v>
      </c>
      <c r="D22" s="130"/>
      <c r="E22" s="130"/>
      <c r="F22" s="31"/>
      <c r="G22" s="74"/>
      <c r="H22"/>
      <c r="I22" s="60"/>
      <c r="J22" s="48" t="s">
        <v>839</v>
      </c>
    </row>
    <row r="23" spans="1:10">
      <c r="A23" s="4"/>
      <c r="B23" s="1" t="s">
        <v>22</v>
      </c>
      <c r="C23" s="31" t="s">
        <v>1047</v>
      </c>
      <c r="D23" s="130"/>
      <c r="E23" s="130"/>
      <c r="F23" s="31"/>
      <c r="G23" s="31"/>
      <c r="H23"/>
      <c r="I23" s="49"/>
      <c r="J23" s="50" t="s">
        <v>626</v>
      </c>
    </row>
    <row r="24" spans="1:10">
      <c r="H24"/>
      <c r="I24" s="51"/>
      <c r="J24" s="50" t="s">
        <v>627</v>
      </c>
    </row>
    <row r="25" spans="1:10" ht="18">
      <c r="A25" s="95" t="s">
        <v>28</v>
      </c>
      <c r="H25"/>
      <c r="I25" s="52"/>
      <c r="J25" s="50" t="s">
        <v>628</v>
      </c>
    </row>
    <row r="26" spans="1:10" ht="53.25" customHeight="1">
      <c r="A26" s="5" t="s">
        <v>2</v>
      </c>
      <c r="B26" s="5" t="s">
        <v>6</v>
      </c>
      <c r="C26" s="97" t="s">
        <v>1024</v>
      </c>
      <c r="D26" s="97" t="s">
        <v>998</v>
      </c>
      <c r="E26" s="97" t="s">
        <v>1000</v>
      </c>
      <c r="F26" s="236" t="s">
        <v>1023</v>
      </c>
      <c r="G26" s="237"/>
      <c r="H26"/>
    </row>
    <row r="27" spans="1:10">
      <c r="A27" s="44" t="s">
        <v>7</v>
      </c>
      <c r="B27" s="45"/>
      <c r="C27" s="75"/>
      <c r="D27" s="151">
        <f>D28+D29+D30</f>
        <v>24.84</v>
      </c>
      <c r="E27" s="129">
        <f>E28+E29+E30</f>
        <v>24.84</v>
      </c>
      <c r="F27" s="238"/>
      <c r="G27" s="239"/>
      <c r="H27"/>
    </row>
    <row r="28" spans="1:10">
      <c r="A28" s="84" t="s">
        <v>3</v>
      </c>
      <c r="B28" s="83" t="s">
        <v>7</v>
      </c>
      <c r="C28" s="77"/>
      <c r="D28" s="152"/>
      <c r="E28" s="132">
        <f>$C28*E6</f>
        <v>0</v>
      </c>
      <c r="F28" s="234"/>
      <c r="G28" s="235"/>
      <c r="H28"/>
    </row>
    <row r="29" spans="1:10">
      <c r="A29" s="84" t="s">
        <v>4</v>
      </c>
      <c r="B29" s="83" t="s">
        <v>7</v>
      </c>
      <c r="C29" s="77">
        <v>0.09</v>
      </c>
      <c r="D29" s="152">
        <f>E7*C29</f>
        <v>18</v>
      </c>
      <c r="E29" s="132">
        <f>$C29*E7</f>
        <v>18</v>
      </c>
      <c r="F29" s="234" t="s">
        <v>1117</v>
      </c>
      <c r="G29" s="235"/>
    </row>
    <row r="30" spans="1:10">
      <c r="A30" s="84" t="s">
        <v>5</v>
      </c>
      <c r="B30" s="44" t="s">
        <v>7</v>
      </c>
      <c r="C30" s="76"/>
      <c r="D30" s="153">
        <f t="shared" ref="D30:E30" si="1">SUM(D31:D45)</f>
        <v>6.84</v>
      </c>
      <c r="E30" s="131">
        <f t="shared" si="1"/>
        <v>6.84</v>
      </c>
      <c r="F30" s="238"/>
      <c r="G30" s="239"/>
    </row>
    <row r="31" spans="1:10">
      <c r="A31" s="3"/>
      <c r="B31" s="1" t="s">
        <v>8</v>
      </c>
      <c r="C31" s="77"/>
      <c r="D31" s="152"/>
      <c r="E31" s="132">
        <f t="shared" ref="E31:E45" si="2">$C31*E9</f>
        <v>0</v>
      </c>
      <c r="F31" s="234"/>
      <c r="G31" s="235"/>
    </row>
    <row r="32" spans="1:10">
      <c r="A32" s="3"/>
      <c r="B32" s="1" t="s">
        <v>9</v>
      </c>
      <c r="C32" s="77"/>
      <c r="D32" s="152"/>
      <c r="E32" s="132">
        <f t="shared" si="2"/>
        <v>0</v>
      </c>
      <c r="F32" s="234"/>
      <c r="G32" s="235"/>
    </row>
    <row r="33" spans="1:7">
      <c r="A33" s="3"/>
      <c r="B33" s="1" t="s">
        <v>10</v>
      </c>
      <c r="C33" s="77"/>
      <c r="D33" s="152"/>
      <c r="E33" s="132">
        <f t="shared" si="2"/>
        <v>0</v>
      </c>
      <c r="F33" s="234"/>
      <c r="G33" s="235"/>
    </row>
    <row r="34" spans="1:7">
      <c r="A34" s="3"/>
      <c r="B34" s="1" t="s">
        <v>11</v>
      </c>
      <c r="C34" s="77"/>
      <c r="D34" s="152"/>
      <c r="E34" s="132">
        <f t="shared" si="2"/>
        <v>0</v>
      </c>
      <c r="F34" s="234"/>
      <c r="G34" s="235"/>
    </row>
    <row r="35" spans="1:7">
      <c r="A35" s="3"/>
      <c r="B35" s="1" t="s">
        <v>12</v>
      </c>
      <c r="C35" s="77"/>
      <c r="D35" s="152"/>
      <c r="E35" s="132">
        <f t="shared" si="2"/>
        <v>0</v>
      </c>
      <c r="F35" s="234"/>
      <c r="G35" s="235"/>
    </row>
    <row r="36" spans="1:7">
      <c r="A36" s="3"/>
      <c r="B36" s="1" t="s">
        <v>13</v>
      </c>
      <c r="C36" s="77"/>
      <c r="D36" s="152"/>
      <c r="E36" s="132">
        <f t="shared" si="2"/>
        <v>0</v>
      </c>
      <c r="F36" s="234"/>
      <c r="G36" s="235"/>
    </row>
    <row r="37" spans="1:7">
      <c r="A37" s="3"/>
      <c r="B37" s="1" t="s">
        <v>14</v>
      </c>
      <c r="C37" s="77">
        <v>0.09</v>
      </c>
      <c r="D37" s="152">
        <f>E15*C37</f>
        <v>3.15</v>
      </c>
      <c r="E37" s="132">
        <f t="shared" si="2"/>
        <v>3.15</v>
      </c>
      <c r="F37" s="234" t="s">
        <v>1117</v>
      </c>
      <c r="G37" s="235"/>
    </row>
    <row r="38" spans="1:7">
      <c r="A38" s="3"/>
      <c r="B38" s="1" t="s">
        <v>15</v>
      </c>
      <c r="C38" s="77"/>
      <c r="D38" s="152"/>
      <c r="E38" s="132">
        <f t="shared" si="2"/>
        <v>0</v>
      </c>
      <c r="F38" s="234"/>
      <c r="G38" s="235"/>
    </row>
    <row r="39" spans="1:7">
      <c r="A39" s="3"/>
      <c r="B39" s="1" t="s">
        <v>16</v>
      </c>
      <c r="C39" s="77">
        <v>0.09</v>
      </c>
      <c r="D39" s="152">
        <f>E17*C39</f>
        <v>3.69</v>
      </c>
      <c r="E39" s="132">
        <f t="shared" si="2"/>
        <v>3.69</v>
      </c>
      <c r="F39" s="234" t="s">
        <v>1117</v>
      </c>
      <c r="G39" s="235"/>
    </row>
    <row r="40" spans="1:7">
      <c r="A40" s="3"/>
      <c r="B40" s="1" t="s">
        <v>17</v>
      </c>
      <c r="C40" s="77"/>
      <c r="D40" s="152"/>
      <c r="E40" s="132">
        <f t="shared" si="2"/>
        <v>0</v>
      </c>
      <c r="F40" s="234"/>
      <c r="G40" s="235"/>
    </row>
    <row r="41" spans="1:7">
      <c r="A41" s="3"/>
      <c r="B41" s="1" t="s">
        <v>18</v>
      </c>
      <c r="C41" s="77"/>
      <c r="D41" s="152"/>
      <c r="E41" s="132">
        <f t="shared" si="2"/>
        <v>0</v>
      </c>
      <c r="F41" s="234"/>
      <c r="G41" s="235"/>
    </row>
    <row r="42" spans="1:7">
      <c r="A42" s="3"/>
      <c r="B42" s="1" t="s">
        <v>19</v>
      </c>
      <c r="C42" s="77"/>
      <c r="D42" s="152"/>
      <c r="E42" s="132">
        <f t="shared" si="2"/>
        <v>0</v>
      </c>
      <c r="F42" s="234"/>
      <c r="G42" s="235"/>
    </row>
    <row r="43" spans="1:7">
      <c r="A43" s="3"/>
      <c r="B43" s="1" t="s">
        <v>20</v>
      </c>
      <c r="C43" s="77"/>
      <c r="D43" s="152"/>
      <c r="E43" s="132">
        <f t="shared" si="2"/>
        <v>0</v>
      </c>
      <c r="F43" s="234"/>
      <c r="G43" s="235"/>
    </row>
    <row r="44" spans="1:7">
      <c r="A44" s="3"/>
      <c r="B44" s="1" t="s">
        <v>21</v>
      </c>
      <c r="C44" s="77"/>
      <c r="D44" s="152"/>
      <c r="E44" s="132">
        <f t="shared" si="2"/>
        <v>0</v>
      </c>
      <c r="F44" s="234"/>
      <c r="G44" s="235"/>
    </row>
    <row r="45" spans="1:7">
      <c r="A45" s="4"/>
      <c r="B45" s="1" t="s">
        <v>22</v>
      </c>
      <c r="C45" s="77"/>
      <c r="D45" s="152"/>
      <c r="E45" s="132">
        <f t="shared" si="2"/>
        <v>0</v>
      </c>
      <c r="F45" s="234"/>
      <c r="G45" s="235"/>
    </row>
  </sheetData>
  <mergeCells count="20">
    <mergeCell ref="F44:G44"/>
    <mergeCell ref="F45:G45"/>
    <mergeCell ref="F38:G38"/>
    <mergeCell ref="F39:G39"/>
    <mergeCell ref="F40:G40"/>
    <mergeCell ref="F41:G41"/>
    <mergeCell ref="F42:G42"/>
    <mergeCell ref="F43:G43"/>
    <mergeCell ref="F37:G37"/>
    <mergeCell ref="F26:G26"/>
    <mergeCell ref="F27:G27"/>
    <mergeCell ref="F30:G30"/>
    <mergeCell ref="F28:G28"/>
    <mergeCell ref="F29:G29"/>
    <mergeCell ref="F31:G31"/>
    <mergeCell ref="F32:G32"/>
    <mergeCell ref="F33:G33"/>
    <mergeCell ref="F34:G34"/>
    <mergeCell ref="F35:G35"/>
    <mergeCell ref="F36:G36"/>
  </mergeCells>
  <phoneticPr fontId="2" type="noConversion"/>
  <dataValidations count="4">
    <dataValidation type="list" allowBlank="1" showInputMessage="1" showErrorMessage="1" sqref="G9:G10">
      <formula1>"Supplier-specific method, Hybrid method, Average-data method, Spend-based method"</formula1>
    </dataValidation>
    <dataValidation type="list" allowBlank="1" showInputMessage="1" showErrorMessage="1" sqref="G11">
      <formula1>"Supplier-specific method, Average-data method, Enable both method"</formula1>
    </dataValidation>
    <dataValidation type="list" allowBlank="1" showInputMessage="1" showErrorMessage="1" sqref="C6:C23">
      <formula1>"Yes and calculated, Yes but not calculated, No and not calculated"</formula1>
    </dataValidation>
    <dataValidation type="list" allowBlank="1" showInputMessage="1" showErrorMessage="1" sqref="F6:F7 F9:F23">
      <formula1>"All verified, Partially validated, Not verified"</formula1>
    </dataValidation>
  </dataValidations>
  <pageMargins left="0" right="0" top="0" bottom="0" header="0.31496062992125984" footer="0.31496062992125984"/>
  <pageSetup paperSize="9" scale="60" orientation="landscape" horizontalDpi="4294967293" verticalDpi="0" r:id="rId1"/>
  <extLst>
    <ext xmlns:x14="http://schemas.microsoft.com/office/spreadsheetml/2009/9/main" uri="{CCE6A557-97BC-4b89-ADB6-D9C93CAAB3DF}">
      <x14:dataValidations xmlns:xm="http://schemas.microsoft.com/office/excel/2006/main" count="8">
        <x14:dataValidation type="list" allowBlank="1" showInputMessage="1" showErrorMessage="1">
          <x14:formula1>
            <xm:f>Ref!$B$456:$B$461</xm:f>
          </x14:formula1>
          <xm:sqref>G12</xm:sqref>
        </x14:dataValidation>
        <x14:dataValidation type="list" allowBlank="1" showInputMessage="1" showErrorMessage="1">
          <x14:formula1>
            <xm:f>Ref!$B$462:$B$464</xm:f>
          </x14:formula1>
          <xm:sqref>G13</xm:sqref>
        </x14:dataValidation>
        <x14:dataValidation type="list" allowBlank="1" showInputMessage="1" showErrorMessage="1">
          <x14:formula1>
            <xm:f>Ref!$B$465:$B$467</xm:f>
          </x14:formula1>
          <xm:sqref>G14</xm:sqref>
        </x14:dataValidation>
        <x14:dataValidation type="list" allowBlank="1" showInputMessage="1" showErrorMessage="1">
          <x14:formula1>
            <xm:f>Ref!$B$468:$B$470</xm:f>
          </x14:formula1>
          <xm:sqref>G15</xm:sqref>
        </x14:dataValidation>
        <x14:dataValidation type="list" allowBlank="1" showInputMessage="1" showErrorMessage="1">
          <x14:formula1>
            <xm:f>Ref!$B$471:$B$473</xm:f>
          </x14:formula1>
          <xm:sqref>G16 G21</xm:sqref>
        </x14:dataValidation>
        <x14:dataValidation type="list" allowBlank="1" showInputMessage="1" showErrorMessage="1">
          <x14:formula1>
            <xm:f>Ref!$B$474:$B$479</xm:f>
          </x14:formula1>
          <xm:sqref>G17</xm:sqref>
        </x14:dataValidation>
        <x14:dataValidation type="list" allowBlank="1" showInputMessage="1" showErrorMessage="1">
          <x14:formula1>
            <xm:f>Ref!$B$480:$B$481</xm:f>
          </x14:formula1>
          <xm:sqref>G18</xm:sqref>
        </x14:dataValidation>
        <x14:dataValidation type="list" allowBlank="1" showInputMessage="1" showErrorMessage="1">
          <x14:formula1>
            <xm:f>Ref!$B$485:$B$486</xm:f>
          </x14:formula1>
          <xm:sqref>G23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GridLines="0" topLeftCell="B1" zoomScale="85" zoomScaleNormal="85" workbookViewId="0">
      <selection activeCell="I4" sqref="I4"/>
    </sheetView>
  </sheetViews>
  <sheetFormatPr defaultRowHeight="16.5"/>
  <cols>
    <col min="1" max="1" width="9" customWidth="1"/>
    <col min="2" max="2" width="24.75" customWidth="1"/>
    <col min="3" max="3" width="13.75" customWidth="1"/>
    <col min="4" max="4" width="14.75" customWidth="1"/>
    <col min="5" max="5" width="66.375" customWidth="1"/>
    <col min="6" max="6" width="56.375" customWidth="1"/>
    <col min="7" max="7" width="19" customWidth="1"/>
    <col min="8" max="8" width="19.375" customWidth="1"/>
    <col min="9" max="9" width="30.5" customWidth="1"/>
    <col min="10" max="10" width="5.125" customWidth="1"/>
  </cols>
  <sheetData>
    <row r="1" spans="1:12" ht="26.25">
      <c r="A1" s="137" t="s">
        <v>625</v>
      </c>
    </row>
    <row r="3" spans="1:12" ht="18">
      <c r="A3" s="95" t="s">
        <v>624</v>
      </c>
    </row>
    <row r="4" spans="1:12" ht="100.5" customHeight="1">
      <c r="A4" s="19" t="s">
        <v>30</v>
      </c>
      <c r="B4" s="19" t="s">
        <v>1001</v>
      </c>
      <c r="C4" s="19" t="s">
        <v>1002</v>
      </c>
      <c r="D4" s="19" t="s">
        <v>1003</v>
      </c>
      <c r="E4" s="79" t="s">
        <v>1004</v>
      </c>
      <c r="F4" s="138" t="s">
        <v>1005</v>
      </c>
      <c r="G4" s="20" t="s">
        <v>1006</v>
      </c>
      <c r="H4" s="20" t="s">
        <v>1007</v>
      </c>
      <c r="I4" s="94" t="s">
        <v>1008</v>
      </c>
      <c r="K4" s="155"/>
    </row>
    <row r="5" spans="1:12" ht="17.25">
      <c r="A5" s="71">
        <v>1</v>
      </c>
      <c r="B5" s="71" t="s">
        <v>1058</v>
      </c>
      <c r="C5" s="42" t="s">
        <v>1265</v>
      </c>
      <c r="D5" s="71" t="s">
        <v>1059</v>
      </c>
      <c r="E5" s="111" t="s">
        <v>1060</v>
      </c>
      <c r="F5" s="135" t="s">
        <v>1061</v>
      </c>
      <c r="G5" s="72">
        <v>0.09</v>
      </c>
      <c r="H5" s="72">
        <v>1</v>
      </c>
      <c r="I5" s="154" t="s">
        <v>1117</v>
      </c>
      <c r="K5" s="60"/>
      <c r="L5" s="48" t="s">
        <v>839</v>
      </c>
    </row>
    <row r="6" spans="1:12">
      <c r="A6" s="71">
        <v>2</v>
      </c>
      <c r="B6" s="71"/>
      <c r="C6" s="42"/>
      <c r="D6" s="71"/>
      <c r="E6" s="111"/>
      <c r="F6" s="135"/>
      <c r="G6" s="72"/>
      <c r="H6" s="72"/>
      <c r="I6" s="154"/>
      <c r="K6" s="49"/>
      <c r="L6" s="50" t="s">
        <v>626</v>
      </c>
    </row>
    <row r="7" spans="1:12">
      <c r="A7" s="71">
        <v>3</v>
      </c>
      <c r="B7" s="71"/>
      <c r="C7" s="42"/>
      <c r="D7" s="71"/>
      <c r="E7" s="111"/>
      <c r="F7" s="135"/>
      <c r="G7" s="72"/>
      <c r="H7" s="72"/>
      <c r="I7" s="154"/>
      <c r="K7" s="51"/>
      <c r="L7" s="50" t="s">
        <v>627</v>
      </c>
    </row>
    <row r="8" spans="1:12">
      <c r="A8" s="71">
        <v>4</v>
      </c>
      <c r="B8" s="71"/>
      <c r="C8" s="42"/>
      <c r="D8" s="71"/>
      <c r="E8" s="111"/>
      <c r="F8" s="135"/>
      <c r="G8" s="72"/>
      <c r="H8" s="72"/>
      <c r="I8" s="154"/>
      <c r="K8" s="52"/>
      <c r="L8" s="50" t="s">
        <v>628</v>
      </c>
    </row>
    <row r="9" spans="1:12">
      <c r="A9" s="71">
        <v>5</v>
      </c>
      <c r="B9" s="71"/>
      <c r="C9" s="42"/>
      <c r="D9" s="71"/>
      <c r="E9" s="111"/>
      <c r="F9" s="135"/>
      <c r="G9" s="72"/>
      <c r="H9" s="72"/>
      <c r="I9" s="154"/>
    </row>
    <row r="10" spans="1:12">
      <c r="A10" s="71">
        <v>6</v>
      </c>
      <c r="B10" s="71"/>
      <c r="C10" s="42"/>
      <c r="D10" s="71"/>
      <c r="E10" s="111"/>
      <c r="F10" s="135"/>
      <c r="G10" s="72"/>
      <c r="H10" s="72"/>
      <c r="I10" s="154"/>
    </row>
    <row r="11" spans="1:12">
      <c r="A11" s="71">
        <v>7</v>
      </c>
      <c r="B11" s="71"/>
      <c r="C11" s="42"/>
      <c r="D11" s="71"/>
      <c r="E11" s="111"/>
      <c r="F11" s="135"/>
      <c r="G11" s="72"/>
      <c r="H11" s="72"/>
      <c r="I11" s="154"/>
    </row>
    <row r="12" spans="1:12">
      <c r="A12" s="71">
        <v>8</v>
      </c>
      <c r="B12" s="71"/>
      <c r="C12" s="42"/>
      <c r="D12" s="71"/>
      <c r="E12" s="111"/>
      <c r="F12" s="135"/>
      <c r="G12" s="72"/>
      <c r="H12" s="72"/>
      <c r="I12" s="154"/>
    </row>
    <row r="13" spans="1:12">
      <c r="A13" s="71">
        <v>9</v>
      </c>
      <c r="B13" s="71"/>
      <c r="C13" s="42"/>
      <c r="D13" s="71"/>
      <c r="E13" s="111"/>
      <c r="F13" s="135"/>
      <c r="G13" s="72"/>
      <c r="H13" s="72"/>
      <c r="I13" s="154"/>
    </row>
    <row r="14" spans="1:12">
      <c r="A14" s="71">
        <v>10</v>
      </c>
      <c r="B14" s="71"/>
      <c r="C14" s="42"/>
      <c r="D14" s="71"/>
      <c r="E14" s="111"/>
      <c r="F14" s="135"/>
      <c r="G14" s="72"/>
      <c r="H14" s="72"/>
      <c r="I14" s="154"/>
    </row>
    <row r="15" spans="1:12">
      <c r="H15" s="146"/>
      <c r="I15" s="57"/>
    </row>
  </sheetData>
  <phoneticPr fontId="2" type="noConversion"/>
  <pageMargins left="0" right="0" top="0" bottom="0" header="0.31496062992125984" footer="0.31496062992125984"/>
  <pageSetup paperSize="9" scale="50"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Ref!$B$263:$B$455</xm:f>
          </x14:formula1>
          <xm:sqref>C5:C14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4"/>
  <sheetViews>
    <sheetView showGridLines="0" zoomScaleNormal="100" workbookViewId="0">
      <pane ySplit="4" topLeftCell="A16" activePane="bottomLeft" state="frozen"/>
      <selection pane="bottomLeft" activeCell="B22" sqref="B22"/>
    </sheetView>
  </sheetViews>
  <sheetFormatPr defaultRowHeight="16.5"/>
  <cols>
    <col min="1" max="1" width="6.625" customWidth="1"/>
    <col min="2" max="2" width="30.875" customWidth="1"/>
    <col min="3" max="3" width="22.125" bestFit="1" customWidth="1"/>
    <col min="4" max="4" width="18.75" bestFit="1" customWidth="1"/>
    <col min="5" max="5" width="19.5" customWidth="1"/>
    <col min="6" max="6" width="21.25" customWidth="1"/>
    <col min="7" max="7" width="14.25" customWidth="1"/>
    <col min="8" max="8" width="26.5" customWidth="1"/>
    <col min="9" max="9" width="24.875" customWidth="1"/>
    <col min="10" max="10" width="27.5" customWidth="1"/>
  </cols>
  <sheetData>
    <row r="1" spans="1:13" ht="26.25">
      <c r="A1" s="137" t="s">
        <v>371</v>
      </c>
    </row>
    <row r="3" spans="1:13" ht="18">
      <c r="A3" s="95" t="s">
        <v>372</v>
      </c>
    </row>
    <row r="4" spans="1:13" ht="34.5">
      <c r="A4" s="19" t="s">
        <v>30</v>
      </c>
      <c r="B4" s="19" t="s">
        <v>962</v>
      </c>
      <c r="C4" s="19" t="s">
        <v>31</v>
      </c>
      <c r="D4" s="19" t="s">
        <v>963</v>
      </c>
      <c r="E4" s="19" t="s">
        <v>964</v>
      </c>
      <c r="F4" s="19" t="s">
        <v>965</v>
      </c>
      <c r="G4" s="19" t="s">
        <v>966</v>
      </c>
      <c r="H4" s="136" t="s">
        <v>967</v>
      </c>
      <c r="I4" s="20" t="s">
        <v>876</v>
      </c>
      <c r="J4" s="20" t="s">
        <v>968</v>
      </c>
    </row>
    <row r="5" spans="1:13" ht="49.5">
      <c r="A5" s="150">
        <v>1</v>
      </c>
      <c r="B5" s="74" t="s">
        <v>1062</v>
      </c>
      <c r="C5" s="74" t="s">
        <v>1063</v>
      </c>
      <c r="D5" s="74">
        <v>1001942</v>
      </c>
      <c r="E5" s="42" t="s">
        <v>86</v>
      </c>
      <c r="F5" s="43" t="s">
        <v>1054</v>
      </c>
      <c r="G5" s="149" t="s">
        <v>1064</v>
      </c>
      <c r="H5" s="148">
        <v>12.4</v>
      </c>
      <c r="I5" s="147" t="s">
        <v>1065</v>
      </c>
      <c r="J5" s="98" t="s">
        <v>1049</v>
      </c>
      <c r="L5" s="60"/>
      <c r="M5" s="48" t="s">
        <v>839</v>
      </c>
    </row>
    <row r="6" spans="1:13" ht="66">
      <c r="A6" s="150">
        <v>2</v>
      </c>
      <c r="B6" s="74" t="s">
        <v>1066</v>
      </c>
      <c r="C6" s="74" t="s">
        <v>1067</v>
      </c>
      <c r="D6" s="74">
        <v>1001941</v>
      </c>
      <c r="E6" s="42" t="s">
        <v>1123</v>
      </c>
      <c r="F6" s="43" t="s">
        <v>324</v>
      </c>
      <c r="G6" s="149" t="s">
        <v>1064</v>
      </c>
      <c r="H6" s="148">
        <v>0.3</v>
      </c>
      <c r="I6" s="147" t="s">
        <v>1065</v>
      </c>
      <c r="J6" s="98" t="s">
        <v>1049</v>
      </c>
      <c r="L6" s="49"/>
      <c r="M6" s="50" t="s">
        <v>626</v>
      </c>
    </row>
    <row r="7" spans="1:13" ht="49.5">
      <c r="A7" s="150">
        <v>3</v>
      </c>
      <c r="B7" s="74" t="s">
        <v>1068</v>
      </c>
      <c r="C7" s="74" t="s">
        <v>1069</v>
      </c>
      <c r="D7" s="74">
        <v>1001574</v>
      </c>
      <c r="E7" s="42" t="s">
        <v>86</v>
      </c>
      <c r="F7" s="43" t="s">
        <v>311</v>
      </c>
      <c r="G7" s="149" t="s">
        <v>1064</v>
      </c>
      <c r="H7" s="148">
        <v>10.5</v>
      </c>
      <c r="I7" s="147" t="s">
        <v>1065</v>
      </c>
      <c r="J7" s="98" t="s">
        <v>1049</v>
      </c>
      <c r="L7" s="51"/>
      <c r="M7" s="50" t="s">
        <v>627</v>
      </c>
    </row>
    <row r="8" spans="1:13" ht="49.5">
      <c r="A8" s="150">
        <v>4</v>
      </c>
      <c r="B8" s="74" t="s">
        <v>1070</v>
      </c>
      <c r="C8" s="74" t="s">
        <v>1071</v>
      </c>
      <c r="D8" s="74">
        <v>1001866</v>
      </c>
      <c r="E8" s="42" t="s">
        <v>86</v>
      </c>
      <c r="F8" s="43" t="s">
        <v>311</v>
      </c>
      <c r="G8" s="149" t="s">
        <v>1064</v>
      </c>
      <c r="H8" s="148">
        <v>26</v>
      </c>
      <c r="I8" s="147" t="s">
        <v>1065</v>
      </c>
      <c r="J8" s="98" t="s">
        <v>1049</v>
      </c>
      <c r="L8" s="52"/>
      <c r="M8" s="50" t="s">
        <v>628</v>
      </c>
    </row>
    <row r="9" spans="1:13" ht="49.5">
      <c r="A9" s="150">
        <v>5</v>
      </c>
      <c r="B9" s="74" t="s">
        <v>1072</v>
      </c>
      <c r="C9" s="74" t="s">
        <v>1073</v>
      </c>
      <c r="D9" s="74">
        <v>1001575</v>
      </c>
      <c r="E9" s="42" t="s">
        <v>86</v>
      </c>
      <c r="F9" s="43" t="s">
        <v>311</v>
      </c>
      <c r="G9" s="149" t="s">
        <v>1064</v>
      </c>
      <c r="H9" s="148">
        <v>2</v>
      </c>
      <c r="I9" s="147" t="s">
        <v>1065</v>
      </c>
      <c r="J9" s="98" t="s">
        <v>1049</v>
      </c>
    </row>
    <row r="10" spans="1:13" ht="49.5">
      <c r="A10" s="150">
        <v>6</v>
      </c>
      <c r="B10" s="74" t="s">
        <v>1074</v>
      </c>
      <c r="C10" s="74" t="s">
        <v>1075</v>
      </c>
      <c r="D10" s="74">
        <v>1001998</v>
      </c>
      <c r="E10" s="42" t="s">
        <v>86</v>
      </c>
      <c r="F10" s="43" t="s">
        <v>311</v>
      </c>
      <c r="G10" s="149" t="s">
        <v>1064</v>
      </c>
      <c r="H10" s="148">
        <v>9.9</v>
      </c>
      <c r="I10" s="147" t="s">
        <v>1065</v>
      </c>
      <c r="J10" s="98" t="s">
        <v>1049</v>
      </c>
      <c r="L10" t="s">
        <v>1034</v>
      </c>
    </row>
    <row r="11" spans="1:13" ht="49.5">
      <c r="A11" s="150">
        <v>7</v>
      </c>
      <c r="B11" s="74" t="s">
        <v>1076</v>
      </c>
      <c r="C11" s="74" t="s">
        <v>1077</v>
      </c>
      <c r="D11" s="74">
        <v>1001997</v>
      </c>
      <c r="E11" s="42" t="s">
        <v>86</v>
      </c>
      <c r="F11" s="43" t="s">
        <v>311</v>
      </c>
      <c r="G11" s="149" t="s">
        <v>1064</v>
      </c>
      <c r="H11" s="148">
        <v>8.4</v>
      </c>
      <c r="I11" s="147" t="s">
        <v>1065</v>
      </c>
      <c r="J11" s="98" t="s">
        <v>1049</v>
      </c>
      <c r="L11" t="s">
        <v>1035</v>
      </c>
    </row>
    <row r="12" spans="1:13" ht="49.5">
      <c r="A12" s="150">
        <v>8</v>
      </c>
      <c r="B12" s="74" t="s">
        <v>1078</v>
      </c>
      <c r="C12" s="74" t="s">
        <v>1079</v>
      </c>
      <c r="D12" s="74">
        <v>1001999</v>
      </c>
      <c r="E12" s="42" t="s">
        <v>86</v>
      </c>
      <c r="F12" s="43" t="s">
        <v>311</v>
      </c>
      <c r="G12" s="149" t="s">
        <v>1064</v>
      </c>
      <c r="H12" s="148">
        <v>4</v>
      </c>
      <c r="I12" s="147" t="s">
        <v>1065</v>
      </c>
      <c r="J12" s="98" t="s">
        <v>1049</v>
      </c>
    </row>
    <row r="13" spans="1:13" ht="49.5">
      <c r="A13" s="150">
        <v>9</v>
      </c>
      <c r="B13" s="74" t="s">
        <v>1080</v>
      </c>
      <c r="C13" s="74" t="s">
        <v>1081</v>
      </c>
      <c r="D13" s="74">
        <v>1002000</v>
      </c>
      <c r="E13" s="42" t="s">
        <v>86</v>
      </c>
      <c r="F13" s="43" t="s">
        <v>311</v>
      </c>
      <c r="G13" s="149" t="s">
        <v>1064</v>
      </c>
      <c r="H13" s="148">
        <v>27</v>
      </c>
      <c r="I13" s="147" t="s">
        <v>1065</v>
      </c>
      <c r="J13" s="98" t="s">
        <v>1049</v>
      </c>
    </row>
    <row r="14" spans="1:13" ht="49.5">
      <c r="A14" s="150">
        <v>10</v>
      </c>
      <c r="B14" s="74" t="s">
        <v>1074</v>
      </c>
      <c r="C14" s="74" t="s">
        <v>1082</v>
      </c>
      <c r="D14" s="74">
        <v>1001998</v>
      </c>
      <c r="E14" s="42" t="s">
        <v>86</v>
      </c>
      <c r="F14" s="43" t="s">
        <v>311</v>
      </c>
      <c r="G14" s="149" t="s">
        <v>1064</v>
      </c>
      <c r="H14" s="148">
        <v>0.2</v>
      </c>
      <c r="I14" s="147" t="s">
        <v>1065</v>
      </c>
      <c r="J14" s="98" t="s">
        <v>1049</v>
      </c>
    </row>
    <row r="15" spans="1:13" ht="66">
      <c r="A15" s="150">
        <v>11</v>
      </c>
      <c r="B15" s="74" t="s">
        <v>1083</v>
      </c>
      <c r="C15" s="74" t="s">
        <v>1084</v>
      </c>
      <c r="D15" s="74">
        <v>1002116</v>
      </c>
      <c r="E15" s="42" t="s">
        <v>1123</v>
      </c>
      <c r="F15" s="43" t="s">
        <v>324</v>
      </c>
      <c r="G15" s="149" t="s">
        <v>1064</v>
      </c>
      <c r="H15" s="148">
        <v>0.2</v>
      </c>
      <c r="I15" s="147" t="s">
        <v>1065</v>
      </c>
      <c r="J15" s="98" t="s">
        <v>1049</v>
      </c>
    </row>
    <row r="16" spans="1:13" ht="66">
      <c r="A16" s="150">
        <v>12</v>
      </c>
      <c r="B16" s="74" t="s">
        <v>1085</v>
      </c>
      <c r="C16" s="74" t="s">
        <v>1086</v>
      </c>
      <c r="D16" s="74">
        <v>1002117</v>
      </c>
      <c r="E16" s="42" t="s">
        <v>1123</v>
      </c>
      <c r="F16" s="43" t="s">
        <v>1124</v>
      </c>
      <c r="G16" s="149" t="s">
        <v>1064</v>
      </c>
      <c r="H16" s="148">
        <v>0.2</v>
      </c>
      <c r="I16" s="147" t="s">
        <v>1065</v>
      </c>
      <c r="J16" s="98" t="s">
        <v>1049</v>
      </c>
    </row>
    <row r="17" spans="1:10" ht="49.5">
      <c r="A17" s="150">
        <v>13</v>
      </c>
      <c r="B17" s="74" t="s">
        <v>1087</v>
      </c>
      <c r="C17" s="74" t="s">
        <v>1088</v>
      </c>
      <c r="D17" s="74">
        <v>100218</v>
      </c>
      <c r="E17" s="42" t="s">
        <v>86</v>
      </c>
      <c r="F17" s="43" t="s">
        <v>311</v>
      </c>
      <c r="G17" s="149" t="s">
        <v>1064</v>
      </c>
      <c r="H17" s="148">
        <v>8.3000000000000007</v>
      </c>
      <c r="I17" s="147" t="s">
        <v>1065</v>
      </c>
      <c r="J17" s="98" t="s">
        <v>1049</v>
      </c>
    </row>
    <row r="18" spans="1:10" ht="49.5">
      <c r="A18" s="150">
        <v>14</v>
      </c>
      <c r="B18" s="74" t="s">
        <v>1089</v>
      </c>
      <c r="C18" s="74" t="s">
        <v>1090</v>
      </c>
      <c r="D18" s="74">
        <v>1002132</v>
      </c>
      <c r="E18" s="42" t="s">
        <v>86</v>
      </c>
      <c r="F18" s="43" t="s">
        <v>311</v>
      </c>
      <c r="G18" s="149" t="s">
        <v>1064</v>
      </c>
      <c r="H18" s="148">
        <v>8.1</v>
      </c>
      <c r="I18" s="147" t="s">
        <v>1065</v>
      </c>
      <c r="J18" s="98" t="s">
        <v>1049</v>
      </c>
    </row>
    <row r="19" spans="1:10" ht="49.5">
      <c r="A19" s="150">
        <v>15</v>
      </c>
      <c r="B19" s="74" t="s">
        <v>1091</v>
      </c>
      <c r="C19" s="74" t="s">
        <v>1092</v>
      </c>
      <c r="D19" s="74">
        <v>1002119</v>
      </c>
      <c r="E19" s="42" t="s">
        <v>86</v>
      </c>
      <c r="F19" s="43" t="s">
        <v>311</v>
      </c>
      <c r="G19" s="149" t="s">
        <v>1064</v>
      </c>
      <c r="H19" s="148">
        <v>3.1</v>
      </c>
      <c r="I19" s="147" t="s">
        <v>1065</v>
      </c>
      <c r="J19" s="98" t="s">
        <v>1049</v>
      </c>
    </row>
    <row r="20" spans="1:10" ht="49.5">
      <c r="A20" s="150">
        <v>16</v>
      </c>
      <c r="B20" s="74" t="s">
        <v>1093</v>
      </c>
      <c r="C20" s="74" t="s">
        <v>1094</v>
      </c>
      <c r="D20" s="74">
        <v>1002120</v>
      </c>
      <c r="E20" s="42" t="s">
        <v>86</v>
      </c>
      <c r="F20" s="43" t="s">
        <v>311</v>
      </c>
      <c r="G20" s="149" t="s">
        <v>1064</v>
      </c>
      <c r="H20" s="148">
        <v>2.7</v>
      </c>
      <c r="I20" s="147" t="s">
        <v>1065</v>
      </c>
      <c r="J20" s="98" t="s">
        <v>1049</v>
      </c>
    </row>
    <row r="21" spans="1:10" ht="49.5">
      <c r="A21" s="150">
        <v>17</v>
      </c>
      <c r="B21" s="74" t="s">
        <v>1095</v>
      </c>
      <c r="C21" s="74" t="s">
        <v>1096</v>
      </c>
      <c r="D21" s="74">
        <v>1002121</v>
      </c>
      <c r="E21" s="42" t="s">
        <v>86</v>
      </c>
      <c r="F21" s="43" t="s">
        <v>311</v>
      </c>
      <c r="G21" s="149" t="s">
        <v>1064</v>
      </c>
      <c r="H21" s="148">
        <v>30</v>
      </c>
      <c r="I21" s="147" t="s">
        <v>1065</v>
      </c>
      <c r="J21" s="98" t="s">
        <v>1049</v>
      </c>
    </row>
    <row r="22" spans="1:10" ht="66">
      <c r="A22" s="150">
        <v>18</v>
      </c>
      <c r="B22" s="74" t="s">
        <v>1097</v>
      </c>
      <c r="C22" s="74" t="s">
        <v>1098</v>
      </c>
      <c r="D22" s="74">
        <v>1002176</v>
      </c>
      <c r="E22" s="42" t="s">
        <v>1123</v>
      </c>
      <c r="F22" s="43" t="s">
        <v>324</v>
      </c>
      <c r="G22" s="149" t="s">
        <v>1064</v>
      </c>
      <c r="H22" s="148">
        <v>0.2</v>
      </c>
      <c r="I22" s="147" t="s">
        <v>1065</v>
      </c>
      <c r="J22" s="98" t="s">
        <v>1049</v>
      </c>
    </row>
    <row r="23" spans="1:10" ht="49.5">
      <c r="A23" s="150">
        <v>19</v>
      </c>
      <c r="B23" s="74" t="s">
        <v>1099</v>
      </c>
      <c r="C23" s="74" t="s">
        <v>1100</v>
      </c>
      <c r="D23" s="74">
        <v>1002174</v>
      </c>
      <c r="E23" s="42" t="s">
        <v>86</v>
      </c>
      <c r="F23" s="43" t="s">
        <v>311</v>
      </c>
      <c r="G23" s="149" t="s">
        <v>1064</v>
      </c>
      <c r="H23" s="148">
        <v>8</v>
      </c>
      <c r="I23" s="147" t="s">
        <v>1065</v>
      </c>
      <c r="J23" s="98" t="s">
        <v>1049</v>
      </c>
    </row>
    <row r="24" spans="1:10">
      <c r="A24" s="150">
        <v>20</v>
      </c>
      <c r="B24" s="74"/>
      <c r="C24" s="74"/>
      <c r="D24" s="74"/>
      <c r="E24" s="42"/>
      <c r="F24" s="43"/>
      <c r="G24" s="149"/>
      <c r="H24" s="148"/>
      <c r="I24" s="147"/>
      <c r="J24" s="98"/>
    </row>
    <row r="25" spans="1:10">
      <c r="A25" s="150">
        <v>21</v>
      </c>
      <c r="B25" s="74"/>
      <c r="C25" s="74"/>
      <c r="D25" s="74"/>
      <c r="E25" s="42"/>
      <c r="F25" s="43"/>
      <c r="G25" s="149"/>
      <c r="H25" s="148"/>
      <c r="I25" s="147"/>
      <c r="J25" s="98"/>
    </row>
    <row r="26" spans="1:10">
      <c r="A26" s="150">
        <v>22</v>
      </c>
      <c r="B26" s="74"/>
      <c r="C26" s="74"/>
      <c r="D26" s="74"/>
      <c r="E26" s="42"/>
      <c r="F26" s="43"/>
      <c r="G26" s="149"/>
      <c r="H26" s="148"/>
      <c r="I26" s="147"/>
      <c r="J26" s="98"/>
    </row>
    <row r="27" spans="1:10">
      <c r="A27" s="150">
        <v>23</v>
      </c>
      <c r="B27" s="74"/>
      <c r="C27" s="74"/>
      <c r="D27" s="74"/>
      <c r="E27" s="42"/>
      <c r="F27" s="43"/>
      <c r="G27" s="149"/>
      <c r="H27" s="148"/>
      <c r="I27" s="147"/>
      <c r="J27" s="98"/>
    </row>
    <row r="28" spans="1:10">
      <c r="A28" s="150">
        <v>24</v>
      </c>
      <c r="B28" s="74"/>
      <c r="C28" s="74"/>
      <c r="D28" s="74"/>
      <c r="E28" s="42"/>
      <c r="F28" s="43"/>
      <c r="G28" s="149"/>
      <c r="H28" s="148"/>
      <c r="I28" s="147"/>
      <c r="J28" s="98"/>
    </row>
    <row r="29" spans="1:10">
      <c r="A29" s="150">
        <v>25</v>
      </c>
      <c r="B29" s="74"/>
      <c r="C29" s="74"/>
      <c r="D29" s="74"/>
      <c r="E29" s="42"/>
      <c r="F29" s="43"/>
      <c r="G29" s="149"/>
      <c r="H29" s="148"/>
      <c r="I29" s="147"/>
      <c r="J29" s="98"/>
    </row>
    <row r="30" spans="1:10">
      <c r="A30" s="150">
        <v>26</v>
      </c>
      <c r="B30" s="74"/>
      <c r="C30" s="74"/>
      <c r="D30" s="74"/>
      <c r="E30" s="42"/>
      <c r="F30" s="43"/>
      <c r="G30" s="149"/>
      <c r="H30" s="148"/>
      <c r="I30" s="147"/>
      <c r="J30" s="98"/>
    </row>
    <row r="31" spans="1:10">
      <c r="A31" s="150">
        <v>27</v>
      </c>
      <c r="B31" s="74"/>
      <c r="C31" s="74"/>
      <c r="D31" s="74"/>
      <c r="E31" s="42"/>
      <c r="F31" s="43"/>
      <c r="G31" s="149"/>
      <c r="H31" s="148"/>
      <c r="I31" s="147"/>
      <c r="J31" s="98"/>
    </row>
    <row r="32" spans="1:10">
      <c r="A32" s="150">
        <v>28</v>
      </c>
      <c r="B32" s="74"/>
      <c r="C32" s="74"/>
      <c r="D32" s="74"/>
      <c r="E32" s="42"/>
      <c r="F32" s="43"/>
      <c r="G32" s="149"/>
      <c r="H32" s="148"/>
      <c r="I32" s="147"/>
      <c r="J32" s="98"/>
    </row>
    <row r="33" spans="1:10">
      <c r="A33" s="150">
        <v>29</v>
      </c>
      <c r="B33" s="74"/>
      <c r="C33" s="74"/>
      <c r="D33" s="74"/>
      <c r="E33" s="42"/>
      <c r="F33" s="43"/>
      <c r="G33" s="149"/>
      <c r="H33" s="148"/>
      <c r="I33" s="147"/>
      <c r="J33" s="98"/>
    </row>
    <row r="34" spans="1:10">
      <c r="A34" s="150">
        <v>30</v>
      </c>
      <c r="B34" s="74"/>
      <c r="C34" s="74"/>
      <c r="D34" s="74"/>
      <c r="E34" s="42"/>
      <c r="F34" s="43"/>
      <c r="G34" s="149"/>
      <c r="H34" s="148"/>
      <c r="I34" s="147"/>
      <c r="J34" s="98"/>
    </row>
    <row r="35" spans="1:10">
      <c r="A35" s="150">
        <v>31</v>
      </c>
      <c r="B35" s="74"/>
      <c r="C35" s="74"/>
      <c r="D35" s="74"/>
      <c r="E35" s="42"/>
      <c r="F35" s="43"/>
      <c r="G35" s="149"/>
      <c r="H35" s="148"/>
      <c r="I35" s="147"/>
      <c r="J35" s="98"/>
    </row>
    <row r="36" spans="1:10">
      <c r="A36" s="150">
        <v>32</v>
      </c>
      <c r="B36" s="74"/>
      <c r="C36" s="74"/>
      <c r="D36" s="74"/>
      <c r="E36" s="42"/>
      <c r="F36" s="43"/>
      <c r="G36" s="149"/>
      <c r="H36" s="148"/>
      <c r="I36" s="147"/>
      <c r="J36" s="98"/>
    </row>
    <row r="37" spans="1:10">
      <c r="A37" s="150">
        <v>33</v>
      </c>
      <c r="B37" s="74"/>
      <c r="C37" s="74"/>
      <c r="D37" s="74"/>
      <c r="E37" s="42"/>
      <c r="F37" s="43"/>
      <c r="G37" s="149"/>
      <c r="H37" s="148"/>
      <c r="I37" s="147"/>
      <c r="J37" s="98"/>
    </row>
    <row r="38" spans="1:10">
      <c r="A38" s="150">
        <v>34</v>
      </c>
      <c r="B38" s="74"/>
      <c r="C38" s="74"/>
      <c r="D38" s="74"/>
      <c r="E38" s="42"/>
      <c r="F38" s="43"/>
      <c r="G38" s="149"/>
      <c r="H38" s="148"/>
      <c r="I38" s="147"/>
      <c r="J38" s="98"/>
    </row>
    <row r="39" spans="1:10">
      <c r="A39" s="150">
        <v>35</v>
      </c>
      <c r="B39" s="74"/>
      <c r="C39" s="74"/>
      <c r="D39" s="74"/>
      <c r="E39" s="42"/>
      <c r="F39" s="43"/>
      <c r="G39" s="149"/>
      <c r="H39" s="148"/>
      <c r="I39" s="147"/>
      <c r="J39" s="98"/>
    </row>
    <row r="40" spans="1:10">
      <c r="A40" s="150">
        <v>36</v>
      </c>
      <c r="B40" s="74"/>
      <c r="C40" s="74"/>
      <c r="D40" s="74"/>
      <c r="E40" s="42"/>
      <c r="F40" s="43"/>
      <c r="G40" s="149"/>
      <c r="H40" s="148"/>
      <c r="I40" s="147"/>
      <c r="J40" s="98"/>
    </row>
    <row r="41" spans="1:10">
      <c r="A41" s="150">
        <v>37</v>
      </c>
      <c r="B41" s="74"/>
      <c r="C41" s="74"/>
      <c r="D41" s="74"/>
      <c r="E41" s="42"/>
      <c r="F41" s="43"/>
      <c r="G41" s="149"/>
      <c r="H41" s="148"/>
      <c r="I41" s="147"/>
      <c r="J41" s="98"/>
    </row>
    <row r="42" spans="1:10">
      <c r="A42" s="150">
        <v>38</v>
      </c>
      <c r="B42" s="74"/>
      <c r="C42" s="74"/>
      <c r="D42" s="74"/>
      <c r="E42" s="42"/>
      <c r="F42" s="43"/>
      <c r="G42" s="149"/>
      <c r="H42" s="148"/>
      <c r="I42" s="147"/>
      <c r="J42" s="98"/>
    </row>
    <row r="43" spans="1:10">
      <c r="A43" s="150">
        <v>39</v>
      </c>
      <c r="B43" s="74"/>
      <c r="C43" s="74"/>
      <c r="D43" s="74"/>
      <c r="E43" s="42"/>
      <c r="F43" s="43"/>
      <c r="G43" s="149"/>
      <c r="H43" s="148"/>
      <c r="I43" s="147"/>
      <c r="J43" s="98"/>
    </row>
    <row r="44" spans="1:10">
      <c r="A44" s="150">
        <v>40</v>
      </c>
      <c r="B44" s="74"/>
      <c r="C44" s="74"/>
      <c r="D44" s="74"/>
      <c r="E44" s="42"/>
      <c r="F44" s="43"/>
      <c r="G44" s="149"/>
      <c r="H44" s="148"/>
      <c r="I44" s="147"/>
      <c r="J44" s="98"/>
    </row>
    <row r="45" spans="1:10">
      <c r="A45" s="150">
        <v>41</v>
      </c>
      <c r="B45" s="74"/>
      <c r="C45" s="74"/>
      <c r="D45" s="74"/>
      <c r="E45" s="42"/>
      <c r="F45" s="43"/>
      <c r="G45" s="149"/>
      <c r="H45" s="148"/>
      <c r="I45" s="147"/>
      <c r="J45" s="98"/>
    </row>
    <row r="46" spans="1:10">
      <c r="A46" s="150">
        <v>42</v>
      </c>
      <c r="B46" s="74"/>
      <c r="C46" s="74"/>
      <c r="D46" s="74"/>
      <c r="E46" s="42"/>
      <c r="F46" s="43"/>
      <c r="G46" s="149"/>
      <c r="H46" s="148"/>
      <c r="I46" s="147"/>
      <c r="J46" s="98"/>
    </row>
    <row r="47" spans="1:10">
      <c r="A47" s="150">
        <v>43</v>
      </c>
      <c r="B47" s="74"/>
      <c r="C47" s="74"/>
      <c r="D47" s="74"/>
      <c r="E47" s="42"/>
      <c r="F47" s="43"/>
      <c r="G47" s="149"/>
      <c r="H47" s="148"/>
      <c r="I47" s="147"/>
      <c r="J47" s="98"/>
    </row>
    <row r="48" spans="1:10">
      <c r="A48" s="150">
        <v>44</v>
      </c>
      <c r="B48" s="74"/>
      <c r="C48" s="74"/>
      <c r="D48" s="74"/>
      <c r="E48" s="42"/>
      <c r="F48" s="43"/>
      <c r="G48" s="149"/>
      <c r="H48" s="148"/>
      <c r="I48" s="147"/>
      <c r="J48" s="98"/>
    </row>
    <row r="49" spans="1:10">
      <c r="A49" s="150">
        <v>45</v>
      </c>
      <c r="B49" s="74"/>
      <c r="C49" s="74"/>
      <c r="D49" s="74"/>
      <c r="E49" s="42"/>
      <c r="F49" s="43"/>
      <c r="G49" s="149"/>
      <c r="H49" s="148"/>
      <c r="I49" s="147"/>
      <c r="J49" s="98"/>
    </row>
    <row r="50" spans="1:10">
      <c r="A50" s="150">
        <v>46</v>
      </c>
      <c r="B50" s="74"/>
      <c r="C50" s="74"/>
      <c r="D50" s="74"/>
      <c r="E50" s="42"/>
      <c r="F50" s="43"/>
      <c r="G50" s="149"/>
      <c r="H50" s="148"/>
      <c r="I50" s="147"/>
      <c r="J50" s="98"/>
    </row>
    <row r="51" spans="1:10">
      <c r="A51" s="150">
        <v>47</v>
      </c>
      <c r="B51" s="74"/>
      <c r="C51" s="74"/>
      <c r="D51" s="74"/>
      <c r="E51" s="42"/>
      <c r="F51" s="43"/>
      <c r="G51" s="149"/>
      <c r="H51" s="148"/>
      <c r="I51" s="147"/>
      <c r="J51" s="98"/>
    </row>
    <row r="52" spans="1:10">
      <c r="A52" s="150">
        <v>48</v>
      </c>
      <c r="B52" s="74"/>
      <c r="C52" s="74"/>
      <c r="D52" s="74"/>
      <c r="E52" s="42"/>
      <c r="F52" s="43"/>
      <c r="G52" s="149"/>
      <c r="H52" s="148"/>
      <c r="I52" s="147"/>
      <c r="J52" s="98"/>
    </row>
    <row r="53" spans="1:10">
      <c r="A53" s="150">
        <v>49</v>
      </c>
      <c r="B53" s="74"/>
      <c r="C53" s="74"/>
      <c r="D53" s="74"/>
      <c r="E53" s="42"/>
      <c r="F53" s="43"/>
      <c r="G53" s="149"/>
      <c r="H53" s="148"/>
      <c r="I53" s="147"/>
      <c r="J53" s="98"/>
    </row>
    <row r="54" spans="1:10">
      <c r="A54" s="150">
        <v>50</v>
      </c>
      <c r="B54" s="74"/>
      <c r="C54" s="74"/>
      <c r="D54" s="74"/>
      <c r="E54" s="42"/>
      <c r="F54" s="43"/>
      <c r="G54" s="149"/>
      <c r="H54" s="148"/>
      <c r="I54" s="147"/>
      <c r="J54" s="98"/>
    </row>
    <row r="55" spans="1:10">
      <c r="A55" s="150">
        <v>51</v>
      </c>
      <c r="B55" s="74"/>
      <c r="C55" s="74"/>
      <c r="D55" s="74"/>
      <c r="E55" s="42"/>
      <c r="F55" s="43"/>
      <c r="G55" s="149"/>
      <c r="H55" s="148"/>
      <c r="I55" s="147"/>
      <c r="J55" s="98"/>
    </row>
    <row r="56" spans="1:10">
      <c r="A56" s="150">
        <v>52</v>
      </c>
      <c r="B56" s="74"/>
      <c r="C56" s="74"/>
      <c r="D56" s="74"/>
      <c r="E56" s="42"/>
      <c r="F56" s="43"/>
      <c r="G56" s="149"/>
      <c r="H56" s="148"/>
      <c r="I56" s="147"/>
      <c r="J56" s="98"/>
    </row>
    <row r="57" spans="1:10">
      <c r="A57" s="150">
        <v>53</v>
      </c>
      <c r="B57" s="74"/>
      <c r="C57" s="74"/>
      <c r="D57" s="74"/>
      <c r="E57" s="42"/>
      <c r="F57" s="43"/>
      <c r="G57" s="149"/>
      <c r="H57" s="148"/>
      <c r="I57" s="147"/>
      <c r="J57" s="98"/>
    </row>
    <row r="58" spans="1:10">
      <c r="A58" s="150">
        <v>54</v>
      </c>
      <c r="B58" s="74"/>
      <c r="C58" s="74"/>
      <c r="D58" s="74"/>
      <c r="E58" s="42"/>
      <c r="F58" s="43"/>
      <c r="G58" s="149"/>
      <c r="H58" s="148"/>
      <c r="I58" s="147"/>
      <c r="J58" s="98"/>
    </row>
    <row r="59" spans="1:10">
      <c r="A59" s="150">
        <v>55</v>
      </c>
      <c r="B59" s="74"/>
      <c r="C59" s="74"/>
      <c r="D59" s="74"/>
      <c r="E59" s="42"/>
      <c r="F59" s="43"/>
      <c r="G59" s="149"/>
      <c r="H59" s="148"/>
      <c r="I59" s="147"/>
      <c r="J59" s="98"/>
    </row>
    <row r="60" spans="1:10">
      <c r="A60" s="150">
        <v>56</v>
      </c>
      <c r="B60" s="74"/>
      <c r="C60" s="74"/>
      <c r="D60" s="74"/>
      <c r="E60" s="42"/>
      <c r="F60" s="43"/>
      <c r="G60" s="149"/>
      <c r="H60" s="148"/>
      <c r="I60" s="147"/>
      <c r="J60" s="98"/>
    </row>
    <row r="61" spans="1:10">
      <c r="A61" s="150">
        <v>57</v>
      </c>
      <c r="B61" s="74"/>
      <c r="C61" s="74"/>
      <c r="D61" s="74"/>
      <c r="E61" s="42"/>
      <c r="F61" s="43"/>
      <c r="G61" s="149"/>
      <c r="H61" s="148"/>
      <c r="I61" s="147"/>
      <c r="J61" s="98"/>
    </row>
    <row r="62" spans="1:10">
      <c r="A62" s="150">
        <v>58</v>
      </c>
      <c r="B62" s="74"/>
      <c r="C62" s="74"/>
      <c r="D62" s="74"/>
      <c r="E62" s="42"/>
      <c r="F62" s="43"/>
      <c r="G62" s="149"/>
      <c r="H62" s="148"/>
      <c r="I62" s="147"/>
      <c r="J62" s="98"/>
    </row>
    <row r="63" spans="1:10">
      <c r="A63" s="150">
        <v>59</v>
      </c>
      <c r="B63" s="74"/>
      <c r="C63" s="74"/>
      <c r="D63" s="74"/>
      <c r="E63" s="42"/>
      <c r="F63" s="43"/>
      <c r="G63" s="149"/>
      <c r="H63" s="148"/>
      <c r="I63" s="147"/>
      <c r="J63" s="98"/>
    </row>
    <row r="64" spans="1:10">
      <c r="A64" s="150">
        <v>60</v>
      </c>
      <c r="B64" s="74"/>
      <c r="C64" s="74"/>
      <c r="D64" s="74"/>
      <c r="E64" s="42"/>
      <c r="F64" s="43"/>
      <c r="G64" s="149"/>
      <c r="H64" s="148"/>
      <c r="I64" s="147"/>
      <c r="J64" s="98"/>
    </row>
    <row r="65" spans="1:10">
      <c r="A65" s="150">
        <v>61</v>
      </c>
      <c r="B65" s="74"/>
      <c r="C65" s="74"/>
      <c r="D65" s="74"/>
      <c r="E65" s="42"/>
      <c r="F65" s="43"/>
      <c r="G65" s="149"/>
      <c r="H65" s="148"/>
      <c r="I65" s="147"/>
      <c r="J65" s="98"/>
    </row>
    <row r="66" spans="1:10">
      <c r="A66" s="150">
        <v>62</v>
      </c>
      <c r="B66" s="74"/>
      <c r="C66" s="74"/>
      <c r="D66" s="74"/>
      <c r="E66" s="42"/>
      <c r="F66" s="43"/>
      <c r="G66" s="149"/>
      <c r="H66" s="148"/>
      <c r="I66" s="147"/>
      <c r="J66" s="98"/>
    </row>
    <row r="67" spans="1:10">
      <c r="A67" s="150">
        <v>63</v>
      </c>
      <c r="B67" s="74"/>
      <c r="C67" s="74"/>
      <c r="D67" s="74"/>
      <c r="E67" s="42"/>
      <c r="F67" s="43"/>
      <c r="G67" s="149"/>
      <c r="H67" s="148"/>
      <c r="I67" s="147"/>
      <c r="J67" s="98"/>
    </row>
    <row r="68" spans="1:10">
      <c r="A68" s="150">
        <v>64</v>
      </c>
      <c r="B68" s="74"/>
      <c r="C68" s="74"/>
      <c r="D68" s="74"/>
      <c r="E68" s="42"/>
      <c r="F68" s="43"/>
      <c r="G68" s="149"/>
      <c r="H68" s="148"/>
      <c r="I68" s="147"/>
      <c r="J68" s="98"/>
    </row>
    <row r="69" spans="1:10">
      <c r="A69" s="150">
        <v>65</v>
      </c>
      <c r="B69" s="74"/>
      <c r="C69" s="74"/>
      <c r="D69" s="74"/>
      <c r="E69" s="42"/>
      <c r="F69" s="43"/>
      <c r="G69" s="149"/>
      <c r="H69" s="148"/>
      <c r="I69" s="147"/>
      <c r="J69" s="98"/>
    </row>
    <row r="70" spans="1:10">
      <c r="A70" s="150">
        <v>66</v>
      </c>
      <c r="B70" s="74"/>
      <c r="C70" s="74"/>
      <c r="D70" s="74"/>
      <c r="E70" s="42"/>
      <c r="F70" s="43"/>
      <c r="G70" s="149"/>
      <c r="H70" s="148"/>
      <c r="I70" s="147"/>
      <c r="J70" s="98"/>
    </row>
    <row r="71" spans="1:10">
      <c r="A71" s="150">
        <v>67</v>
      </c>
      <c r="B71" s="74"/>
      <c r="C71" s="74"/>
      <c r="D71" s="74"/>
      <c r="E71" s="42"/>
      <c r="F71" s="43"/>
      <c r="G71" s="149"/>
      <c r="H71" s="148"/>
      <c r="I71" s="147"/>
      <c r="J71" s="98"/>
    </row>
    <row r="72" spans="1:10">
      <c r="A72" s="150">
        <v>68</v>
      </c>
      <c r="B72" s="74"/>
      <c r="C72" s="74"/>
      <c r="D72" s="74"/>
      <c r="E72" s="42"/>
      <c r="F72" s="43"/>
      <c r="G72" s="149"/>
      <c r="H72" s="148"/>
      <c r="I72" s="147"/>
      <c r="J72" s="98"/>
    </row>
    <row r="73" spans="1:10">
      <c r="A73" s="150">
        <v>69</v>
      </c>
      <c r="B73" s="74"/>
      <c r="C73" s="74"/>
      <c r="D73" s="74"/>
      <c r="E73" s="42"/>
      <c r="F73" s="43"/>
      <c r="G73" s="149"/>
      <c r="H73" s="148"/>
      <c r="I73" s="147"/>
      <c r="J73" s="98"/>
    </row>
    <row r="74" spans="1:10">
      <c r="A74" s="150">
        <v>70</v>
      </c>
      <c r="B74" s="74"/>
      <c r="C74" s="74"/>
      <c r="D74" s="74"/>
      <c r="E74" s="42"/>
      <c r="F74" s="43"/>
      <c r="G74" s="149"/>
      <c r="H74" s="148"/>
      <c r="I74" s="147"/>
      <c r="J74" s="98"/>
    </row>
    <row r="75" spans="1:10">
      <c r="A75" s="150">
        <v>71</v>
      </c>
      <c r="B75" s="74"/>
      <c r="C75" s="74"/>
      <c r="D75" s="74"/>
      <c r="E75" s="42"/>
      <c r="F75" s="43"/>
      <c r="G75" s="149"/>
      <c r="H75" s="148"/>
      <c r="I75" s="147"/>
      <c r="J75" s="98"/>
    </row>
    <row r="76" spans="1:10">
      <c r="A76" s="150">
        <v>72</v>
      </c>
      <c r="B76" s="74"/>
      <c r="C76" s="74"/>
      <c r="D76" s="74"/>
      <c r="E76" s="42"/>
      <c r="F76" s="43"/>
      <c r="G76" s="149"/>
      <c r="H76" s="148"/>
      <c r="I76" s="147"/>
      <c r="J76" s="98"/>
    </row>
    <row r="77" spans="1:10">
      <c r="A77" s="150">
        <v>73</v>
      </c>
      <c r="B77" s="74"/>
      <c r="C77" s="74"/>
      <c r="D77" s="74"/>
      <c r="E77" s="42"/>
      <c r="F77" s="43"/>
      <c r="G77" s="149"/>
      <c r="H77" s="148"/>
      <c r="I77" s="147"/>
      <c r="J77" s="98"/>
    </row>
    <row r="78" spans="1:10">
      <c r="A78" s="150">
        <v>74</v>
      </c>
      <c r="B78" s="74"/>
      <c r="C78" s="74"/>
      <c r="D78" s="74"/>
      <c r="E78" s="42"/>
      <c r="F78" s="43"/>
      <c r="G78" s="149"/>
      <c r="H78" s="148"/>
      <c r="I78" s="147"/>
      <c r="J78" s="98"/>
    </row>
    <row r="79" spans="1:10">
      <c r="A79" s="150">
        <v>75</v>
      </c>
      <c r="B79" s="74"/>
      <c r="C79" s="74"/>
      <c r="D79" s="74"/>
      <c r="E79" s="42"/>
      <c r="F79" s="43"/>
      <c r="G79" s="149"/>
      <c r="H79" s="148"/>
      <c r="I79" s="147"/>
      <c r="J79" s="98"/>
    </row>
    <row r="80" spans="1:10">
      <c r="A80" s="150">
        <v>76</v>
      </c>
      <c r="B80" s="74"/>
      <c r="C80" s="74"/>
      <c r="D80" s="74"/>
      <c r="E80" s="42"/>
      <c r="F80" s="43"/>
      <c r="G80" s="149"/>
      <c r="H80" s="148"/>
      <c r="I80" s="147"/>
      <c r="J80" s="98"/>
    </row>
    <row r="81" spans="1:10">
      <c r="A81" s="150">
        <v>77</v>
      </c>
      <c r="B81" s="74"/>
      <c r="C81" s="74"/>
      <c r="D81" s="74"/>
      <c r="E81" s="42"/>
      <c r="F81" s="43"/>
      <c r="G81" s="149"/>
      <c r="H81" s="148"/>
      <c r="I81" s="147"/>
      <c r="J81" s="98"/>
    </row>
    <row r="82" spans="1:10">
      <c r="A82" s="150">
        <v>78</v>
      </c>
      <c r="B82" s="74"/>
      <c r="C82" s="74"/>
      <c r="D82" s="74"/>
      <c r="E82" s="42"/>
      <c r="F82" s="43"/>
      <c r="G82" s="149"/>
      <c r="H82" s="148"/>
      <c r="I82" s="147"/>
      <c r="J82" s="98"/>
    </row>
    <row r="83" spans="1:10">
      <c r="A83" s="150">
        <v>79</v>
      </c>
      <c r="B83" s="74"/>
      <c r="C83" s="74"/>
      <c r="D83" s="74"/>
      <c r="E83" s="42"/>
      <c r="F83" s="43"/>
      <c r="G83" s="149"/>
      <c r="H83" s="148"/>
      <c r="I83" s="147"/>
      <c r="J83" s="98"/>
    </row>
    <row r="84" spans="1:10">
      <c r="A84" s="150">
        <v>80</v>
      </c>
      <c r="B84" s="74"/>
      <c r="C84" s="74"/>
      <c r="D84" s="74"/>
      <c r="E84" s="42"/>
      <c r="F84" s="43"/>
      <c r="G84" s="149"/>
      <c r="H84" s="148"/>
      <c r="I84" s="147"/>
      <c r="J84" s="98"/>
    </row>
    <row r="85" spans="1:10">
      <c r="A85" s="150">
        <v>81</v>
      </c>
      <c r="B85" s="74"/>
      <c r="C85" s="74"/>
      <c r="D85" s="74"/>
      <c r="E85" s="42"/>
      <c r="F85" s="43"/>
      <c r="G85" s="149"/>
      <c r="H85" s="148"/>
      <c r="I85" s="147"/>
      <c r="J85" s="98"/>
    </row>
    <row r="86" spans="1:10">
      <c r="A86" s="150">
        <v>82</v>
      </c>
      <c r="B86" s="74"/>
      <c r="C86" s="74"/>
      <c r="D86" s="74"/>
      <c r="E86" s="42"/>
      <c r="F86" s="43"/>
      <c r="G86" s="149"/>
      <c r="H86" s="148"/>
      <c r="I86" s="147"/>
      <c r="J86" s="98"/>
    </row>
    <row r="87" spans="1:10">
      <c r="A87" s="150">
        <v>83</v>
      </c>
      <c r="B87" s="74"/>
      <c r="C87" s="74"/>
      <c r="D87" s="74"/>
      <c r="E87" s="42"/>
      <c r="F87" s="43"/>
      <c r="G87" s="149"/>
      <c r="H87" s="148"/>
      <c r="I87" s="147"/>
      <c r="J87" s="98"/>
    </row>
    <row r="88" spans="1:10">
      <c r="A88" s="150">
        <v>84</v>
      </c>
      <c r="B88" s="74"/>
      <c r="C88" s="74"/>
      <c r="D88" s="74"/>
      <c r="E88" s="42"/>
      <c r="F88" s="43"/>
      <c r="G88" s="149"/>
      <c r="H88" s="148"/>
      <c r="I88" s="147"/>
      <c r="J88" s="98"/>
    </row>
    <row r="89" spans="1:10">
      <c r="A89" s="150">
        <v>85</v>
      </c>
      <c r="B89" s="74"/>
      <c r="C89" s="74"/>
      <c r="D89" s="74"/>
      <c r="E89" s="42"/>
      <c r="F89" s="43"/>
      <c r="G89" s="149"/>
      <c r="H89" s="148"/>
      <c r="I89" s="147"/>
      <c r="J89" s="98"/>
    </row>
    <row r="90" spans="1:10">
      <c r="A90" s="150">
        <v>86</v>
      </c>
      <c r="B90" s="74"/>
      <c r="C90" s="74"/>
      <c r="D90" s="74"/>
      <c r="E90" s="42"/>
      <c r="F90" s="43"/>
      <c r="G90" s="149"/>
      <c r="H90" s="148"/>
      <c r="I90" s="147"/>
      <c r="J90" s="98"/>
    </row>
    <row r="91" spans="1:10">
      <c r="A91" s="150">
        <v>87</v>
      </c>
      <c r="B91" s="74"/>
      <c r="C91" s="74"/>
      <c r="D91" s="74"/>
      <c r="E91" s="42"/>
      <c r="F91" s="43"/>
      <c r="G91" s="149"/>
      <c r="H91" s="148"/>
      <c r="I91" s="147"/>
      <c r="J91" s="98"/>
    </row>
    <row r="92" spans="1:10">
      <c r="A92" s="150">
        <v>88</v>
      </c>
      <c r="B92" s="74"/>
      <c r="C92" s="74"/>
      <c r="D92" s="74"/>
      <c r="E92" s="42"/>
      <c r="F92" s="43"/>
      <c r="G92" s="149"/>
      <c r="H92" s="148"/>
      <c r="I92" s="147"/>
      <c r="J92" s="98"/>
    </row>
    <row r="93" spans="1:10">
      <c r="A93" s="150">
        <v>89</v>
      </c>
      <c r="B93" s="74"/>
      <c r="C93" s="74"/>
      <c r="D93" s="74"/>
      <c r="E93" s="42"/>
      <c r="F93" s="43"/>
      <c r="G93" s="149"/>
      <c r="H93" s="148"/>
      <c r="I93" s="147"/>
      <c r="J93" s="98"/>
    </row>
    <row r="94" spans="1:10">
      <c r="A94" s="150">
        <v>90</v>
      </c>
      <c r="B94" s="74"/>
      <c r="C94" s="74"/>
      <c r="D94" s="74"/>
      <c r="E94" s="42"/>
      <c r="F94" s="43"/>
      <c r="G94" s="149"/>
      <c r="H94" s="148"/>
      <c r="I94" s="147"/>
      <c r="J94" s="98"/>
    </row>
    <row r="95" spans="1:10">
      <c r="A95" s="150">
        <v>91</v>
      </c>
      <c r="B95" s="74"/>
      <c r="C95" s="74"/>
      <c r="D95" s="74"/>
      <c r="E95" s="42"/>
      <c r="F95" s="43"/>
      <c r="G95" s="149"/>
      <c r="H95" s="148"/>
      <c r="I95" s="147"/>
      <c r="J95" s="98"/>
    </row>
    <row r="96" spans="1:10">
      <c r="A96" s="150">
        <v>92</v>
      </c>
      <c r="B96" s="74"/>
      <c r="C96" s="74"/>
      <c r="D96" s="74"/>
      <c r="E96" s="42"/>
      <c r="F96" s="43"/>
      <c r="G96" s="149"/>
      <c r="H96" s="148"/>
      <c r="I96" s="147"/>
      <c r="J96" s="98"/>
    </row>
    <row r="97" spans="1:10">
      <c r="A97" s="150">
        <v>93</v>
      </c>
      <c r="B97" s="74"/>
      <c r="C97" s="74"/>
      <c r="D97" s="74"/>
      <c r="E97" s="42"/>
      <c r="F97" s="43"/>
      <c r="G97" s="149"/>
      <c r="H97" s="148"/>
      <c r="I97" s="147"/>
      <c r="J97" s="98"/>
    </row>
    <row r="98" spans="1:10">
      <c r="A98" s="150">
        <v>94</v>
      </c>
      <c r="B98" s="74"/>
      <c r="C98" s="74"/>
      <c r="D98" s="74"/>
      <c r="E98" s="42"/>
      <c r="F98" s="43"/>
      <c r="G98" s="149"/>
      <c r="H98" s="148"/>
      <c r="I98" s="147"/>
      <c r="J98" s="98"/>
    </row>
    <row r="99" spans="1:10">
      <c r="A99" s="150">
        <v>95</v>
      </c>
      <c r="B99" s="74"/>
      <c r="C99" s="74"/>
      <c r="D99" s="74"/>
      <c r="E99" s="42"/>
      <c r="F99" s="43"/>
      <c r="G99" s="149"/>
      <c r="H99" s="148"/>
      <c r="I99" s="147"/>
      <c r="J99" s="98"/>
    </row>
    <row r="100" spans="1:10">
      <c r="A100" s="150">
        <v>96</v>
      </c>
      <c r="B100" s="74"/>
      <c r="C100" s="74"/>
      <c r="D100" s="74"/>
      <c r="E100" s="42"/>
      <c r="F100" s="43"/>
      <c r="G100" s="149"/>
      <c r="H100" s="148"/>
      <c r="I100" s="147"/>
      <c r="J100" s="98"/>
    </row>
    <row r="101" spans="1:10">
      <c r="A101" s="150">
        <v>97</v>
      </c>
      <c r="B101" s="74"/>
      <c r="C101" s="74"/>
      <c r="D101" s="74"/>
      <c r="E101" s="42"/>
      <c r="F101" s="43"/>
      <c r="G101" s="149"/>
      <c r="H101" s="148"/>
      <c r="I101" s="147"/>
      <c r="J101" s="98"/>
    </row>
    <row r="102" spans="1:10">
      <c r="A102" s="150">
        <v>98</v>
      </c>
      <c r="B102" s="74"/>
      <c r="C102" s="74"/>
      <c r="D102" s="74"/>
      <c r="E102" s="42"/>
      <c r="F102" s="43"/>
      <c r="G102" s="149"/>
      <c r="H102" s="148"/>
      <c r="I102" s="147"/>
      <c r="J102" s="98"/>
    </row>
    <row r="103" spans="1:10">
      <c r="A103" s="150">
        <v>99</v>
      </c>
      <c r="B103" s="74"/>
      <c r="C103" s="74"/>
      <c r="D103" s="74"/>
      <c r="E103" s="42"/>
      <c r="F103" s="43"/>
      <c r="G103" s="149"/>
      <c r="H103" s="148"/>
      <c r="I103" s="147"/>
      <c r="J103" s="98"/>
    </row>
    <row r="104" spans="1:10">
      <c r="A104" s="150">
        <v>100</v>
      </c>
      <c r="B104" s="74"/>
      <c r="C104" s="74"/>
      <c r="D104" s="74"/>
      <c r="E104" s="42"/>
      <c r="F104" s="43"/>
      <c r="G104" s="149"/>
      <c r="H104" s="148"/>
      <c r="I104" s="147"/>
      <c r="J104" s="98"/>
    </row>
    <row r="105" spans="1:10">
      <c r="A105" s="150">
        <v>101</v>
      </c>
      <c r="B105" s="74"/>
      <c r="C105" s="74"/>
      <c r="D105" s="74"/>
      <c r="E105" s="42"/>
      <c r="F105" s="43"/>
      <c r="G105" s="149"/>
      <c r="H105" s="148"/>
      <c r="I105" s="147"/>
      <c r="J105" s="98"/>
    </row>
    <row r="106" spans="1:10">
      <c r="A106" s="150">
        <v>102</v>
      </c>
      <c r="B106" s="74"/>
      <c r="C106" s="74"/>
      <c r="D106" s="74"/>
      <c r="E106" s="42"/>
      <c r="F106" s="43"/>
      <c r="G106" s="149"/>
      <c r="H106" s="148"/>
      <c r="I106" s="147"/>
      <c r="J106" s="98"/>
    </row>
    <row r="107" spans="1:10">
      <c r="A107" s="150">
        <v>103</v>
      </c>
      <c r="B107" s="74"/>
      <c r="C107" s="74"/>
      <c r="D107" s="74"/>
      <c r="E107" s="42"/>
      <c r="F107" s="43"/>
      <c r="G107" s="149"/>
      <c r="H107" s="148"/>
      <c r="I107" s="147"/>
      <c r="J107" s="98"/>
    </row>
    <row r="108" spans="1:10">
      <c r="A108" s="150">
        <v>104</v>
      </c>
      <c r="B108" s="74"/>
      <c r="C108" s="74"/>
      <c r="D108" s="74"/>
      <c r="E108" s="42"/>
      <c r="F108" s="43"/>
      <c r="G108" s="149"/>
      <c r="H108" s="148"/>
      <c r="I108" s="147"/>
      <c r="J108" s="98"/>
    </row>
    <row r="109" spans="1:10">
      <c r="A109" s="150">
        <v>105</v>
      </c>
      <c r="B109" s="74"/>
      <c r="C109" s="74"/>
      <c r="D109" s="74"/>
      <c r="E109" s="42"/>
      <c r="F109" s="43"/>
      <c r="G109" s="149"/>
      <c r="H109" s="148"/>
      <c r="I109" s="147"/>
      <c r="J109" s="98"/>
    </row>
    <row r="110" spans="1:10">
      <c r="A110" s="150">
        <v>106</v>
      </c>
      <c r="B110" s="74"/>
      <c r="C110" s="74"/>
      <c r="D110" s="74"/>
      <c r="E110" s="42"/>
      <c r="F110" s="43"/>
      <c r="G110" s="149"/>
      <c r="H110" s="148"/>
      <c r="I110" s="147"/>
      <c r="J110" s="98"/>
    </row>
    <row r="111" spans="1:10">
      <c r="A111" s="150">
        <v>107</v>
      </c>
      <c r="B111" s="74"/>
      <c r="C111" s="74"/>
      <c r="D111" s="74"/>
      <c r="E111" s="42"/>
      <c r="F111" s="43"/>
      <c r="G111" s="149"/>
      <c r="H111" s="148"/>
      <c r="I111" s="147"/>
      <c r="J111" s="98"/>
    </row>
    <row r="112" spans="1:10">
      <c r="A112" s="150">
        <v>108</v>
      </c>
      <c r="B112" s="74"/>
      <c r="C112" s="74"/>
      <c r="D112" s="74"/>
      <c r="E112" s="42"/>
      <c r="F112" s="43"/>
      <c r="G112" s="149"/>
      <c r="H112" s="148"/>
      <c r="I112" s="147"/>
      <c r="J112" s="98"/>
    </row>
    <row r="113" spans="1:10">
      <c r="A113" s="150">
        <v>109</v>
      </c>
      <c r="B113" s="74"/>
      <c r="C113" s="74"/>
      <c r="D113" s="74"/>
      <c r="E113" s="42"/>
      <c r="F113" s="43"/>
      <c r="G113" s="149"/>
      <c r="H113" s="148"/>
      <c r="I113" s="147"/>
      <c r="J113" s="98"/>
    </row>
    <row r="114" spans="1:10">
      <c r="A114" s="150">
        <v>110</v>
      </c>
      <c r="B114" s="74"/>
      <c r="C114" s="74"/>
      <c r="D114" s="74"/>
      <c r="E114" s="42"/>
      <c r="F114" s="43"/>
      <c r="G114" s="149"/>
      <c r="H114" s="148"/>
      <c r="I114" s="147"/>
      <c r="J114" s="98"/>
    </row>
    <row r="115" spans="1:10">
      <c r="A115" s="150">
        <v>111</v>
      </c>
      <c r="B115" s="74"/>
      <c r="C115" s="74"/>
      <c r="D115" s="74"/>
      <c r="E115" s="42"/>
      <c r="F115" s="43"/>
      <c r="G115" s="149"/>
      <c r="H115" s="148"/>
      <c r="I115" s="147"/>
      <c r="J115" s="98"/>
    </row>
    <row r="116" spans="1:10">
      <c r="A116" s="150">
        <v>112</v>
      </c>
      <c r="B116" s="74"/>
      <c r="C116" s="74"/>
      <c r="D116" s="74"/>
      <c r="E116" s="42"/>
      <c r="F116" s="43"/>
      <c r="G116" s="149"/>
      <c r="H116" s="148"/>
      <c r="I116" s="147"/>
      <c r="J116" s="98"/>
    </row>
    <row r="117" spans="1:10">
      <c r="A117" s="150">
        <v>113</v>
      </c>
      <c r="B117" s="74"/>
      <c r="C117" s="74"/>
      <c r="D117" s="74"/>
      <c r="E117" s="42"/>
      <c r="F117" s="43"/>
      <c r="G117" s="149"/>
      <c r="H117" s="148"/>
      <c r="I117" s="147"/>
      <c r="J117" s="98"/>
    </row>
    <row r="118" spans="1:10">
      <c r="A118" s="150">
        <v>114</v>
      </c>
      <c r="B118" s="74"/>
      <c r="C118" s="74"/>
      <c r="D118" s="74"/>
      <c r="E118" s="42"/>
      <c r="F118" s="43"/>
      <c r="G118" s="149"/>
      <c r="H118" s="148"/>
      <c r="I118" s="147"/>
      <c r="J118" s="98"/>
    </row>
    <row r="119" spans="1:10">
      <c r="A119" s="150">
        <v>115</v>
      </c>
      <c r="B119" s="74"/>
      <c r="C119" s="74"/>
      <c r="D119" s="74"/>
      <c r="E119" s="42"/>
      <c r="F119" s="43"/>
      <c r="G119" s="149"/>
      <c r="H119" s="148"/>
      <c r="I119" s="147"/>
      <c r="J119" s="98"/>
    </row>
    <row r="120" spans="1:10">
      <c r="A120" s="150">
        <v>116</v>
      </c>
      <c r="B120" s="74"/>
      <c r="C120" s="74"/>
      <c r="D120" s="74"/>
      <c r="E120" s="42"/>
      <c r="F120" s="43"/>
      <c r="G120" s="149"/>
      <c r="H120" s="148"/>
      <c r="I120" s="147"/>
      <c r="J120" s="98"/>
    </row>
    <row r="121" spans="1:10">
      <c r="A121" s="150">
        <v>117</v>
      </c>
      <c r="B121" s="74"/>
      <c r="C121" s="74"/>
      <c r="D121" s="74"/>
      <c r="E121" s="42"/>
      <c r="F121" s="43"/>
      <c r="G121" s="149"/>
      <c r="H121" s="148"/>
      <c r="I121" s="147"/>
      <c r="J121" s="98"/>
    </row>
    <row r="122" spans="1:10">
      <c r="A122" s="150">
        <v>118</v>
      </c>
      <c r="B122" s="74"/>
      <c r="C122" s="74"/>
      <c r="D122" s="74"/>
      <c r="E122" s="42"/>
      <c r="F122" s="43"/>
      <c r="G122" s="149"/>
      <c r="H122" s="148"/>
      <c r="I122" s="147"/>
      <c r="J122" s="98"/>
    </row>
    <row r="123" spans="1:10">
      <c r="A123" s="150">
        <v>119</v>
      </c>
      <c r="B123" s="74"/>
      <c r="C123" s="74"/>
      <c r="D123" s="74"/>
      <c r="E123" s="42"/>
      <c r="F123" s="43"/>
      <c r="G123" s="149"/>
      <c r="H123" s="148"/>
      <c r="I123" s="147"/>
      <c r="J123" s="98"/>
    </row>
    <row r="124" spans="1:10">
      <c r="A124" s="150">
        <v>120</v>
      </c>
      <c r="B124" s="74"/>
      <c r="C124" s="74"/>
      <c r="D124" s="74"/>
      <c r="E124" s="42"/>
      <c r="F124" s="43"/>
      <c r="G124" s="149"/>
      <c r="H124" s="148"/>
      <c r="I124" s="147"/>
      <c r="J124" s="98"/>
    </row>
    <row r="125" spans="1:10">
      <c r="A125" s="150">
        <v>121</v>
      </c>
      <c r="B125" s="74"/>
      <c r="C125" s="74"/>
      <c r="D125" s="74"/>
      <c r="E125" s="42"/>
      <c r="F125" s="43"/>
      <c r="G125" s="149"/>
      <c r="H125" s="148"/>
      <c r="I125" s="147"/>
      <c r="J125" s="98"/>
    </row>
    <row r="126" spans="1:10">
      <c r="A126" s="150">
        <v>122</v>
      </c>
      <c r="B126" s="74"/>
      <c r="C126" s="74"/>
      <c r="D126" s="74"/>
      <c r="E126" s="42"/>
      <c r="F126" s="43"/>
      <c r="G126" s="149"/>
      <c r="H126" s="148"/>
      <c r="I126" s="147"/>
      <c r="J126" s="98"/>
    </row>
    <row r="127" spans="1:10">
      <c r="A127" s="150">
        <v>123</v>
      </c>
      <c r="B127" s="74"/>
      <c r="C127" s="74"/>
      <c r="D127" s="74"/>
      <c r="E127" s="42"/>
      <c r="F127" s="43"/>
      <c r="G127" s="149"/>
      <c r="H127" s="148"/>
      <c r="I127" s="147"/>
      <c r="J127" s="98"/>
    </row>
    <row r="128" spans="1:10">
      <c r="A128" s="150">
        <v>124</v>
      </c>
      <c r="B128" s="74"/>
      <c r="C128" s="74"/>
      <c r="D128" s="74"/>
      <c r="E128" s="42"/>
      <c r="F128" s="43"/>
      <c r="G128" s="149"/>
      <c r="H128" s="148"/>
      <c r="I128" s="147"/>
      <c r="J128" s="98"/>
    </row>
    <row r="129" spans="1:10">
      <c r="A129" s="150">
        <v>125</v>
      </c>
      <c r="B129" s="74"/>
      <c r="C129" s="74"/>
      <c r="D129" s="74"/>
      <c r="E129" s="42"/>
      <c r="F129" s="43"/>
      <c r="G129" s="149"/>
      <c r="H129" s="148"/>
      <c r="I129" s="147"/>
      <c r="J129" s="98"/>
    </row>
    <row r="130" spans="1:10">
      <c r="A130" s="150">
        <v>126</v>
      </c>
      <c r="B130" s="74"/>
      <c r="C130" s="74"/>
      <c r="D130" s="74"/>
      <c r="E130" s="42"/>
      <c r="F130" s="43"/>
      <c r="G130" s="149"/>
      <c r="H130" s="148"/>
      <c r="I130" s="147"/>
      <c r="J130" s="98"/>
    </row>
    <row r="131" spans="1:10">
      <c r="A131" s="150">
        <v>127</v>
      </c>
      <c r="B131" s="74"/>
      <c r="C131" s="74"/>
      <c r="D131" s="74"/>
      <c r="E131" s="42"/>
      <c r="F131" s="43"/>
      <c r="G131" s="149"/>
      <c r="H131" s="148"/>
      <c r="I131" s="147"/>
      <c r="J131" s="98"/>
    </row>
    <row r="132" spans="1:10">
      <c r="A132" s="150">
        <v>128</v>
      </c>
      <c r="B132" s="74"/>
      <c r="C132" s="74"/>
      <c r="D132" s="74"/>
      <c r="E132" s="42"/>
      <c r="F132" s="43"/>
      <c r="G132" s="149"/>
      <c r="H132" s="148"/>
      <c r="I132" s="147"/>
      <c r="J132" s="98"/>
    </row>
    <row r="133" spans="1:10">
      <c r="A133" s="150">
        <v>129</v>
      </c>
      <c r="B133" s="74"/>
      <c r="C133" s="74"/>
      <c r="D133" s="74"/>
      <c r="E133" s="42"/>
      <c r="F133" s="43"/>
      <c r="G133" s="149"/>
      <c r="H133" s="148"/>
      <c r="I133" s="147"/>
      <c r="J133" s="98"/>
    </row>
    <row r="134" spans="1:10">
      <c r="A134" s="150">
        <v>130</v>
      </c>
      <c r="B134" s="74"/>
      <c r="C134" s="74"/>
      <c r="D134" s="74"/>
      <c r="E134" s="42"/>
      <c r="F134" s="43"/>
      <c r="G134" s="149"/>
      <c r="H134" s="148"/>
      <c r="I134" s="147"/>
      <c r="J134" s="98"/>
    </row>
    <row r="135" spans="1:10">
      <c r="A135" s="150">
        <v>131</v>
      </c>
      <c r="B135" s="74"/>
      <c r="C135" s="74"/>
      <c r="D135" s="74"/>
      <c r="E135" s="42"/>
      <c r="F135" s="43"/>
      <c r="G135" s="149"/>
      <c r="H135" s="148"/>
      <c r="I135" s="147"/>
      <c r="J135" s="98"/>
    </row>
    <row r="136" spans="1:10">
      <c r="A136" s="150">
        <v>132</v>
      </c>
      <c r="B136" s="74"/>
      <c r="C136" s="74"/>
      <c r="D136" s="74"/>
      <c r="E136" s="42"/>
      <c r="F136" s="43"/>
      <c r="G136" s="149"/>
      <c r="H136" s="148"/>
      <c r="I136" s="147"/>
      <c r="J136" s="98"/>
    </row>
    <row r="137" spans="1:10">
      <c r="A137" s="150">
        <v>133</v>
      </c>
      <c r="B137" s="74"/>
      <c r="C137" s="74"/>
      <c r="D137" s="74"/>
      <c r="E137" s="42"/>
      <c r="F137" s="43"/>
      <c r="G137" s="149"/>
      <c r="H137" s="148"/>
      <c r="I137" s="147"/>
      <c r="J137" s="98"/>
    </row>
    <row r="138" spans="1:10">
      <c r="A138" s="150">
        <v>134</v>
      </c>
      <c r="B138" s="74"/>
      <c r="C138" s="74"/>
      <c r="D138" s="74"/>
      <c r="E138" s="42"/>
      <c r="F138" s="43"/>
      <c r="G138" s="149"/>
      <c r="H138" s="148"/>
      <c r="I138" s="147"/>
      <c r="J138" s="98"/>
    </row>
    <row r="139" spans="1:10">
      <c r="A139" s="150">
        <v>135</v>
      </c>
      <c r="B139" s="74"/>
      <c r="C139" s="74"/>
      <c r="D139" s="74"/>
      <c r="E139" s="42"/>
      <c r="F139" s="43"/>
      <c r="G139" s="149"/>
      <c r="H139" s="148"/>
      <c r="I139" s="147"/>
      <c r="J139" s="98"/>
    </row>
    <row r="140" spans="1:10">
      <c r="A140" s="150">
        <v>136</v>
      </c>
      <c r="B140" s="74"/>
      <c r="C140" s="74"/>
      <c r="D140" s="74"/>
      <c r="E140" s="42"/>
      <c r="F140" s="43"/>
      <c r="G140" s="149"/>
      <c r="H140" s="148"/>
      <c r="I140" s="147"/>
      <c r="J140" s="98"/>
    </row>
    <row r="141" spans="1:10">
      <c r="A141" s="150">
        <v>137</v>
      </c>
      <c r="B141" s="74"/>
      <c r="C141" s="74"/>
      <c r="D141" s="74"/>
      <c r="E141" s="42"/>
      <c r="F141" s="43"/>
      <c r="G141" s="149"/>
      <c r="H141" s="148"/>
      <c r="I141" s="147"/>
      <c r="J141" s="98"/>
    </row>
    <row r="142" spans="1:10">
      <c r="A142" s="150">
        <v>138</v>
      </c>
      <c r="B142" s="74"/>
      <c r="C142" s="74"/>
      <c r="D142" s="74"/>
      <c r="E142" s="42"/>
      <c r="F142" s="43"/>
      <c r="G142" s="149"/>
      <c r="H142" s="148"/>
      <c r="I142" s="147"/>
      <c r="J142" s="98"/>
    </row>
    <row r="143" spans="1:10">
      <c r="A143" s="150">
        <v>139</v>
      </c>
      <c r="B143" s="74"/>
      <c r="C143" s="74"/>
      <c r="D143" s="74"/>
      <c r="E143" s="42"/>
      <c r="F143" s="43"/>
      <c r="G143" s="149"/>
      <c r="H143" s="148"/>
      <c r="I143" s="147"/>
      <c r="J143" s="98"/>
    </row>
    <row r="144" spans="1:10">
      <c r="A144" s="150">
        <v>140</v>
      </c>
      <c r="B144" s="74"/>
      <c r="C144" s="74"/>
      <c r="D144" s="74"/>
      <c r="E144" s="42"/>
      <c r="F144" s="43"/>
      <c r="G144" s="149"/>
      <c r="H144" s="148"/>
      <c r="I144" s="147"/>
      <c r="J144" s="98"/>
    </row>
    <row r="145" spans="1:10">
      <c r="A145" s="150">
        <v>141</v>
      </c>
      <c r="B145" s="74"/>
      <c r="C145" s="74"/>
      <c r="D145" s="74"/>
      <c r="E145" s="42"/>
      <c r="F145" s="43"/>
      <c r="G145" s="149"/>
      <c r="H145" s="148"/>
      <c r="I145" s="147"/>
      <c r="J145" s="98"/>
    </row>
    <row r="146" spans="1:10">
      <c r="A146" s="150">
        <v>142</v>
      </c>
      <c r="B146" s="74"/>
      <c r="C146" s="74"/>
      <c r="D146" s="74"/>
      <c r="E146" s="42"/>
      <c r="F146" s="43"/>
      <c r="G146" s="149"/>
      <c r="H146" s="148"/>
      <c r="I146" s="147"/>
      <c r="J146" s="98"/>
    </row>
    <row r="147" spans="1:10">
      <c r="A147" s="150">
        <v>143</v>
      </c>
      <c r="B147" s="74"/>
      <c r="C147" s="74"/>
      <c r="D147" s="74"/>
      <c r="E147" s="42"/>
      <c r="F147" s="43"/>
      <c r="G147" s="149"/>
      <c r="H147" s="148"/>
      <c r="I147" s="147"/>
      <c r="J147" s="98"/>
    </row>
    <row r="148" spans="1:10">
      <c r="A148" s="150">
        <v>144</v>
      </c>
      <c r="B148" s="74"/>
      <c r="C148" s="74"/>
      <c r="D148" s="74"/>
      <c r="E148" s="42"/>
      <c r="F148" s="43"/>
      <c r="G148" s="149"/>
      <c r="H148" s="148"/>
      <c r="I148" s="147"/>
      <c r="J148" s="98"/>
    </row>
    <row r="149" spans="1:10">
      <c r="A149" s="150">
        <v>145</v>
      </c>
      <c r="B149" s="74"/>
      <c r="C149" s="74"/>
      <c r="D149" s="74"/>
      <c r="E149" s="42"/>
      <c r="F149" s="43"/>
      <c r="G149" s="149"/>
      <c r="H149" s="148"/>
      <c r="I149" s="147"/>
      <c r="J149" s="98"/>
    </row>
    <row r="150" spans="1:10">
      <c r="A150" s="150">
        <v>146</v>
      </c>
      <c r="B150" s="74"/>
      <c r="C150" s="74"/>
      <c r="D150" s="74"/>
      <c r="E150" s="42"/>
      <c r="F150" s="43"/>
      <c r="G150" s="149"/>
      <c r="H150" s="148"/>
      <c r="I150" s="147"/>
      <c r="J150" s="98"/>
    </row>
    <row r="151" spans="1:10">
      <c r="A151" s="150">
        <v>147</v>
      </c>
      <c r="B151" s="74"/>
      <c r="C151" s="74"/>
      <c r="D151" s="74"/>
      <c r="E151" s="42"/>
      <c r="F151" s="43"/>
      <c r="G151" s="149"/>
      <c r="H151" s="148"/>
      <c r="I151" s="147"/>
      <c r="J151" s="98"/>
    </row>
    <row r="152" spans="1:10">
      <c r="A152" s="150">
        <v>148</v>
      </c>
      <c r="B152" s="74"/>
      <c r="C152" s="74"/>
      <c r="D152" s="74"/>
      <c r="E152" s="42"/>
      <c r="F152" s="43"/>
      <c r="G152" s="149"/>
      <c r="H152" s="148"/>
      <c r="I152" s="147"/>
      <c r="J152" s="98"/>
    </row>
    <row r="153" spans="1:10">
      <c r="A153" s="150">
        <v>149</v>
      </c>
      <c r="B153" s="74"/>
      <c r="C153" s="74"/>
      <c r="D153" s="74"/>
      <c r="E153" s="42"/>
      <c r="F153" s="43"/>
      <c r="G153" s="149"/>
      <c r="H153" s="148"/>
      <c r="I153" s="147"/>
      <c r="J153" s="98"/>
    </row>
    <row r="154" spans="1:10">
      <c r="A154" s="150">
        <v>150</v>
      </c>
      <c r="B154" s="74"/>
      <c r="C154" s="74"/>
      <c r="D154" s="74"/>
      <c r="E154" s="42"/>
      <c r="F154" s="43"/>
      <c r="G154" s="149"/>
      <c r="H154" s="148"/>
      <c r="I154" s="147"/>
      <c r="J154" s="98"/>
    </row>
    <row r="155" spans="1:10">
      <c r="A155" s="150">
        <v>151</v>
      </c>
      <c r="B155" s="74"/>
      <c r="C155" s="74"/>
      <c r="D155" s="74"/>
      <c r="E155" s="42"/>
      <c r="F155" s="43"/>
      <c r="G155" s="149"/>
      <c r="H155" s="148"/>
      <c r="I155" s="147"/>
      <c r="J155" s="98"/>
    </row>
    <row r="156" spans="1:10">
      <c r="A156" s="150">
        <v>152</v>
      </c>
      <c r="B156" s="74"/>
      <c r="C156" s="74"/>
      <c r="D156" s="74"/>
      <c r="E156" s="42"/>
      <c r="F156" s="43"/>
      <c r="G156" s="149"/>
      <c r="H156" s="148"/>
      <c r="I156" s="147"/>
      <c r="J156" s="98"/>
    </row>
    <row r="157" spans="1:10">
      <c r="A157" s="150">
        <v>153</v>
      </c>
      <c r="B157" s="74"/>
      <c r="C157" s="74"/>
      <c r="D157" s="74"/>
      <c r="E157" s="42"/>
      <c r="F157" s="43"/>
      <c r="G157" s="149"/>
      <c r="H157" s="148"/>
      <c r="I157" s="147"/>
      <c r="J157" s="98"/>
    </row>
    <row r="158" spans="1:10">
      <c r="A158" s="150">
        <v>154</v>
      </c>
      <c r="B158" s="74"/>
      <c r="C158" s="74"/>
      <c r="D158" s="74"/>
      <c r="E158" s="42"/>
      <c r="F158" s="43"/>
      <c r="G158" s="149"/>
      <c r="H158" s="148"/>
      <c r="I158" s="147"/>
      <c r="J158" s="98"/>
    </row>
    <row r="159" spans="1:10">
      <c r="A159" s="150">
        <v>155</v>
      </c>
      <c r="B159" s="74"/>
      <c r="C159" s="74"/>
      <c r="D159" s="74"/>
      <c r="E159" s="42"/>
      <c r="F159" s="43"/>
      <c r="G159" s="149"/>
      <c r="H159" s="148"/>
      <c r="I159" s="147"/>
      <c r="J159" s="98"/>
    </row>
    <row r="160" spans="1:10">
      <c r="A160" s="150">
        <v>156</v>
      </c>
      <c r="B160" s="74"/>
      <c r="C160" s="74"/>
      <c r="D160" s="74"/>
      <c r="E160" s="42"/>
      <c r="F160" s="43"/>
      <c r="G160" s="149"/>
      <c r="H160" s="148"/>
      <c r="I160" s="147"/>
      <c r="J160" s="98"/>
    </row>
    <row r="161" spans="1:10">
      <c r="A161" s="150">
        <v>157</v>
      </c>
      <c r="B161" s="74"/>
      <c r="C161" s="74"/>
      <c r="D161" s="74"/>
      <c r="E161" s="42"/>
      <c r="F161" s="43"/>
      <c r="G161" s="149"/>
      <c r="H161" s="148"/>
      <c r="I161" s="147"/>
      <c r="J161" s="98"/>
    </row>
    <row r="162" spans="1:10">
      <c r="A162" s="150">
        <v>158</v>
      </c>
      <c r="B162" s="74"/>
      <c r="C162" s="74"/>
      <c r="D162" s="74"/>
      <c r="E162" s="42"/>
      <c r="F162" s="43"/>
      <c r="G162" s="149"/>
      <c r="H162" s="148"/>
      <c r="I162" s="147"/>
      <c r="J162" s="98"/>
    </row>
    <row r="163" spans="1:10">
      <c r="A163" s="150">
        <v>159</v>
      </c>
      <c r="B163" s="74"/>
      <c r="C163" s="74"/>
      <c r="D163" s="74"/>
      <c r="E163" s="42"/>
      <c r="F163" s="43"/>
      <c r="G163" s="149"/>
      <c r="H163" s="148"/>
      <c r="I163" s="147"/>
      <c r="J163" s="98"/>
    </row>
    <row r="164" spans="1:10">
      <c r="A164" s="150">
        <v>160</v>
      </c>
      <c r="B164" s="74"/>
      <c r="C164" s="74"/>
      <c r="D164" s="74"/>
      <c r="E164" s="42"/>
      <c r="F164" s="43"/>
      <c r="G164" s="149"/>
      <c r="H164" s="148"/>
      <c r="I164" s="147"/>
      <c r="J164" s="98"/>
    </row>
    <row r="165" spans="1:10">
      <c r="A165" s="150">
        <v>161</v>
      </c>
      <c r="B165" s="74"/>
      <c r="C165" s="74"/>
      <c r="D165" s="74"/>
      <c r="E165" s="42"/>
      <c r="F165" s="43"/>
      <c r="G165" s="149"/>
      <c r="H165" s="148"/>
      <c r="I165" s="147"/>
      <c r="J165" s="98"/>
    </row>
    <row r="166" spans="1:10">
      <c r="A166" s="150">
        <v>162</v>
      </c>
      <c r="B166" s="74"/>
      <c r="C166" s="74"/>
      <c r="D166" s="74"/>
      <c r="E166" s="42"/>
      <c r="F166" s="43"/>
      <c r="G166" s="149"/>
      <c r="H166" s="148"/>
      <c r="I166" s="147"/>
      <c r="J166" s="98"/>
    </row>
    <row r="167" spans="1:10">
      <c r="A167" s="150">
        <v>163</v>
      </c>
      <c r="B167" s="74"/>
      <c r="C167" s="74"/>
      <c r="D167" s="74"/>
      <c r="E167" s="42"/>
      <c r="F167" s="43"/>
      <c r="G167" s="149"/>
      <c r="H167" s="148"/>
      <c r="I167" s="147"/>
      <c r="J167" s="98"/>
    </row>
    <row r="168" spans="1:10">
      <c r="A168" s="150">
        <v>164</v>
      </c>
      <c r="B168" s="74"/>
      <c r="C168" s="74"/>
      <c r="D168" s="74"/>
      <c r="E168" s="42"/>
      <c r="F168" s="43"/>
      <c r="G168" s="149"/>
      <c r="H168" s="148"/>
      <c r="I168" s="147"/>
      <c r="J168" s="98"/>
    </row>
    <row r="169" spans="1:10">
      <c r="A169" s="150">
        <v>165</v>
      </c>
      <c r="B169" s="74"/>
      <c r="C169" s="74"/>
      <c r="D169" s="74"/>
      <c r="E169" s="42"/>
      <c r="F169" s="43"/>
      <c r="G169" s="149"/>
      <c r="H169" s="148"/>
      <c r="I169" s="147"/>
      <c r="J169" s="98"/>
    </row>
    <row r="170" spans="1:10">
      <c r="A170" s="150">
        <v>166</v>
      </c>
      <c r="B170" s="74"/>
      <c r="C170" s="74"/>
      <c r="D170" s="74"/>
      <c r="E170" s="42"/>
      <c r="F170" s="43"/>
      <c r="G170" s="149"/>
      <c r="H170" s="148"/>
      <c r="I170" s="147"/>
      <c r="J170" s="98"/>
    </row>
    <row r="171" spans="1:10">
      <c r="A171" s="150">
        <v>167</v>
      </c>
      <c r="B171" s="74"/>
      <c r="C171" s="74"/>
      <c r="D171" s="74"/>
      <c r="E171" s="42"/>
      <c r="F171" s="43"/>
      <c r="G171" s="149"/>
      <c r="H171" s="148"/>
      <c r="I171" s="147"/>
      <c r="J171" s="98"/>
    </row>
    <row r="172" spans="1:10">
      <c r="A172" s="150">
        <v>168</v>
      </c>
      <c r="B172" s="74"/>
      <c r="C172" s="74"/>
      <c r="D172" s="74"/>
      <c r="E172" s="42"/>
      <c r="F172" s="43"/>
      <c r="G172" s="149"/>
      <c r="H172" s="148"/>
      <c r="I172" s="147"/>
      <c r="J172" s="98"/>
    </row>
    <row r="173" spans="1:10">
      <c r="A173" s="150">
        <v>169</v>
      </c>
      <c r="B173" s="74"/>
      <c r="C173" s="74"/>
      <c r="D173" s="74"/>
      <c r="E173" s="42"/>
      <c r="F173" s="43"/>
      <c r="G173" s="149"/>
      <c r="H173" s="148"/>
      <c r="I173" s="147"/>
      <c r="J173" s="98"/>
    </row>
    <row r="174" spans="1:10">
      <c r="A174" s="150">
        <v>170</v>
      </c>
      <c r="B174" s="74"/>
      <c r="C174" s="74"/>
      <c r="D174" s="74"/>
      <c r="E174" s="42"/>
      <c r="F174" s="43"/>
      <c r="G174" s="149"/>
      <c r="H174" s="148"/>
      <c r="I174" s="147"/>
      <c r="J174" s="98"/>
    </row>
    <row r="175" spans="1:10">
      <c r="A175" s="150">
        <v>171</v>
      </c>
      <c r="B175" s="74"/>
      <c r="C175" s="74"/>
      <c r="D175" s="74"/>
      <c r="E175" s="42"/>
      <c r="F175" s="43"/>
      <c r="G175" s="149"/>
      <c r="H175" s="148"/>
      <c r="I175" s="147"/>
      <c r="J175" s="98"/>
    </row>
    <row r="176" spans="1:10">
      <c r="A176" s="150">
        <v>172</v>
      </c>
      <c r="B176" s="74"/>
      <c r="C176" s="74"/>
      <c r="D176" s="74"/>
      <c r="E176" s="42"/>
      <c r="F176" s="43"/>
      <c r="G176" s="149"/>
      <c r="H176" s="148"/>
      <c r="I176" s="147"/>
      <c r="J176" s="98"/>
    </row>
    <row r="177" spans="1:10">
      <c r="A177" s="150">
        <v>173</v>
      </c>
      <c r="B177" s="74"/>
      <c r="C177" s="74"/>
      <c r="D177" s="74"/>
      <c r="E177" s="42"/>
      <c r="F177" s="43"/>
      <c r="G177" s="149"/>
      <c r="H177" s="148"/>
      <c r="I177" s="147"/>
      <c r="J177" s="98"/>
    </row>
    <row r="178" spans="1:10">
      <c r="A178" s="150">
        <v>174</v>
      </c>
      <c r="B178" s="74"/>
      <c r="C178" s="74"/>
      <c r="D178" s="74"/>
      <c r="E178" s="42"/>
      <c r="F178" s="43"/>
      <c r="G178" s="149"/>
      <c r="H178" s="148"/>
      <c r="I178" s="147"/>
      <c r="J178" s="98"/>
    </row>
    <row r="179" spans="1:10">
      <c r="A179" s="150">
        <v>175</v>
      </c>
      <c r="B179" s="74"/>
      <c r="C179" s="74"/>
      <c r="D179" s="74"/>
      <c r="E179" s="42"/>
      <c r="F179" s="43"/>
      <c r="G179" s="149"/>
      <c r="H179" s="148"/>
      <c r="I179" s="147"/>
      <c r="J179" s="98"/>
    </row>
    <row r="180" spans="1:10">
      <c r="A180" s="150">
        <v>176</v>
      </c>
      <c r="B180" s="74"/>
      <c r="C180" s="74"/>
      <c r="D180" s="74"/>
      <c r="E180" s="42"/>
      <c r="F180" s="43"/>
      <c r="G180" s="149"/>
      <c r="H180" s="148"/>
      <c r="I180" s="147"/>
      <c r="J180" s="98"/>
    </row>
    <row r="181" spans="1:10">
      <c r="A181" s="150">
        <v>177</v>
      </c>
      <c r="B181" s="74"/>
      <c r="C181" s="74"/>
      <c r="D181" s="74"/>
      <c r="E181" s="42"/>
      <c r="F181" s="43"/>
      <c r="G181" s="149"/>
      <c r="H181" s="148"/>
      <c r="I181" s="147"/>
      <c r="J181" s="98"/>
    </row>
    <row r="182" spans="1:10">
      <c r="A182" s="150">
        <v>178</v>
      </c>
      <c r="B182" s="74"/>
      <c r="C182" s="74"/>
      <c r="D182" s="74"/>
      <c r="E182" s="42"/>
      <c r="F182" s="43"/>
      <c r="G182" s="149"/>
      <c r="H182" s="148"/>
      <c r="I182" s="147"/>
      <c r="J182" s="98"/>
    </row>
    <row r="183" spans="1:10">
      <c r="A183" s="150">
        <v>179</v>
      </c>
      <c r="B183" s="74"/>
      <c r="C183" s="74"/>
      <c r="D183" s="74"/>
      <c r="E183" s="42"/>
      <c r="F183" s="43"/>
      <c r="G183" s="149"/>
      <c r="H183" s="148"/>
      <c r="I183" s="147"/>
      <c r="J183" s="98"/>
    </row>
    <row r="184" spans="1:10">
      <c r="A184" s="150">
        <v>180</v>
      </c>
      <c r="B184" s="74"/>
      <c r="C184" s="74"/>
      <c r="D184" s="74"/>
      <c r="E184" s="42"/>
      <c r="F184" s="43"/>
      <c r="G184" s="149"/>
      <c r="H184" s="148"/>
      <c r="I184" s="147"/>
      <c r="J184" s="98"/>
    </row>
    <row r="185" spans="1:10">
      <c r="A185" s="150">
        <v>181</v>
      </c>
      <c r="B185" s="74"/>
      <c r="C185" s="74"/>
      <c r="D185" s="74"/>
      <c r="E185" s="42"/>
      <c r="F185" s="43"/>
      <c r="G185" s="149"/>
      <c r="H185" s="148"/>
      <c r="I185" s="147"/>
      <c r="J185" s="98"/>
    </row>
    <row r="186" spans="1:10">
      <c r="A186" s="150">
        <v>182</v>
      </c>
      <c r="B186" s="74"/>
      <c r="C186" s="74"/>
      <c r="D186" s="74"/>
      <c r="E186" s="42"/>
      <c r="F186" s="43"/>
      <c r="G186" s="149"/>
      <c r="H186" s="148"/>
      <c r="I186" s="147"/>
      <c r="J186" s="98"/>
    </row>
    <row r="187" spans="1:10">
      <c r="A187" s="150">
        <v>183</v>
      </c>
      <c r="B187" s="74"/>
      <c r="C187" s="74"/>
      <c r="D187" s="74"/>
      <c r="E187" s="42"/>
      <c r="F187" s="43"/>
      <c r="G187" s="149"/>
      <c r="H187" s="148"/>
      <c r="I187" s="147"/>
      <c r="J187" s="98"/>
    </row>
    <row r="188" spans="1:10">
      <c r="A188" s="150">
        <v>184</v>
      </c>
      <c r="B188" s="74"/>
      <c r="C188" s="74"/>
      <c r="D188" s="74"/>
      <c r="E188" s="42"/>
      <c r="F188" s="43"/>
      <c r="G188" s="149"/>
      <c r="H188" s="148"/>
      <c r="I188" s="147"/>
      <c r="J188" s="98"/>
    </row>
    <row r="189" spans="1:10">
      <c r="A189" s="150">
        <v>185</v>
      </c>
      <c r="B189" s="74"/>
      <c r="C189" s="74"/>
      <c r="D189" s="74"/>
      <c r="E189" s="42"/>
      <c r="F189" s="43"/>
      <c r="G189" s="149"/>
      <c r="H189" s="148"/>
      <c r="I189" s="147"/>
      <c r="J189" s="98"/>
    </row>
    <row r="190" spans="1:10">
      <c r="A190" s="150">
        <v>186</v>
      </c>
      <c r="B190" s="74"/>
      <c r="C190" s="74"/>
      <c r="D190" s="74"/>
      <c r="E190" s="42"/>
      <c r="F190" s="43"/>
      <c r="G190" s="149"/>
      <c r="H190" s="148"/>
      <c r="I190" s="147"/>
      <c r="J190" s="98"/>
    </row>
    <row r="191" spans="1:10">
      <c r="A191" s="150">
        <v>187</v>
      </c>
      <c r="B191" s="74"/>
      <c r="C191" s="74"/>
      <c r="D191" s="74"/>
      <c r="E191" s="42"/>
      <c r="F191" s="43"/>
      <c r="G191" s="149"/>
      <c r="H191" s="148"/>
      <c r="I191" s="147"/>
      <c r="J191" s="98"/>
    </row>
    <row r="192" spans="1:10">
      <c r="A192" s="150">
        <v>188</v>
      </c>
      <c r="B192" s="74"/>
      <c r="C192" s="74"/>
      <c r="D192" s="74"/>
      <c r="E192" s="42"/>
      <c r="F192" s="43"/>
      <c r="G192" s="149"/>
      <c r="H192" s="148"/>
      <c r="I192" s="147"/>
      <c r="J192" s="98"/>
    </row>
    <row r="193" spans="1:10">
      <c r="A193" s="150">
        <v>189</v>
      </c>
      <c r="B193" s="74"/>
      <c r="C193" s="74"/>
      <c r="D193" s="74"/>
      <c r="E193" s="42"/>
      <c r="F193" s="43"/>
      <c r="G193" s="149"/>
      <c r="H193" s="148"/>
      <c r="I193" s="147"/>
      <c r="J193" s="98"/>
    </row>
    <row r="194" spans="1:10">
      <c r="A194" s="150">
        <v>190</v>
      </c>
      <c r="B194" s="74"/>
      <c r="C194" s="74"/>
      <c r="D194" s="74"/>
      <c r="E194" s="42"/>
      <c r="F194" s="43"/>
      <c r="G194" s="149"/>
      <c r="H194" s="148"/>
      <c r="I194" s="147"/>
      <c r="J194" s="98"/>
    </row>
    <row r="195" spans="1:10">
      <c r="A195" s="150">
        <v>191</v>
      </c>
      <c r="B195" s="74"/>
      <c r="C195" s="74"/>
      <c r="D195" s="74"/>
      <c r="E195" s="42"/>
      <c r="F195" s="43"/>
      <c r="G195" s="149"/>
      <c r="H195" s="148"/>
      <c r="I195" s="147"/>
      <c r="J195" s="98"/>
    </row>
    <row r="196" spans="1:10">
      <c r="A196" s="150">
        <v>192</v>
      </c>
      <c r="B196" s="74"/>
      <c r="C196" s="74"/>
      <c r="D196" s="74"/>
      <c r="E196" s="42"/>
      <c r="F196" s="43"/>
      <c r="G196" s="149"/>
      <c r="H196" s="148"/>
      <c r="I196" s="147"/>
      <c r="J196" s="98"/>
    </row>
    <row r="197" spans="1:10">
      <c r="A197" s="150">
        <v>193</v>
      </c>
      <c r="B197" s="74"/>
      <c r="C197" s="74"/>
      <c r="D197" s="74"/>
      <c r="E197" s="42"/>
      <c r="F197" s="43"/>
      <c r="G197" s="149"/>
      <c r="H197" s="148"/>
      <c r="I197" s="147"/>
      <c r="J197" s="98"/>
    </row>
    <row r="198" spans="1:10">
      <c r="A198" s="150">
        <v>194</v>
      </c>
      <c r="B198" s="74"/>
      <c r="C198" s="74"/>
      <c r="D198" s="74"/>
      <c r="E198" s="42"/>
      <c r="F198" s="43"/>
      <c r="G198" s="149"/>
      <c r="H198" s="148"/>
      <c r="I198" s="147"/>
      <c r="J198" s="98"/>
    </row>
    <row r="199" spans="1:10">
      <c r="A199" s="150">
        <v>195</v>
      </c>
      <c r="B199" s="74"/>
      <c r="C199" s="74"/>
      <c r="D199" s="74"/>
      <c r="E199" s="42"/>
      <c r="F199" s="43"/>
      <c r="G199" s="149"/>
      <c r="H199" s="148"/>
      <c r="I199" s="147"/>
      <c r="J199" s="98"/>
    </row>
    <row r="200" spans="1:10">
      <c r="A200" s="150">
        <v>196</v>
      </c>
      <c r="B200" s="74"/>
      <c r="C200" s="74"/>
      <c r="D200" s="74"/>
      <c r="E200" s="42"/>
      <c r="F200" s="43"/>
      <c r="G200" s="149"/>
      <c r="H200" s="148"/>
      <c r="I200" s="147"/>
      <c r="J200" s="98"/>
    </row>
    <row r="201" spans="1:10">
      <c r="A201" s="150">
        <v>197</v>
      </c>
      <c r="B201" s="74"/>
      <c r="C201" s="74"/>
      <c r="D201" s="74"/>
      <c r="E201" s="42"/>
      <c r="F201" s="43"/>
      <c r="G201" s="149"/>
      <c r="H201" s="148"/>
      <c r="I201" s="147"/>
      <c r="J201" s="98"/>
    </row>
    <row r="202" spans="1:10">
      <c r="A202" s="150">
        <v>198</v>
      </c>
      <c r="B202" s="74"/>
      <c r="C202" s="74"/>
      <c r="D202" s="74"/>
      <c r="E202" s="42"/>
      <c r="F202" s="43"/>
      <c r="G202" s="149"/>
      <c r="H202" s="148"/>
      <c r="I202" s="147"/>
      <c r="J202" s="98"/>
    </row>
    <row r="203" spans="1:10">
      <c r="A203" s="150">
        <v>199</v>
      </c>
      <c r="B203" s="74"/>
      <c r="C203" s="74"/>
      <c r="D203" s="74"/>
      <c r="E203" s="42"/>
      <c r="F203" s="43"/>
      <c r="G203" s="149"/>
      <c r="H203" s="148"/>
      <c r="I203" s="147"/>
      <c r="J203" s="98"/>
    </row>
    <row r="204" spans="1:10">
      <c r="A204" s="150">
        <v>200</v>
      </c>
      <c r="B204" s="74"/>
      <c r="C204" s="74"/>
      <c r="D204" s="74"/>
      <c r="E204" s="42"/>
      <c r="F204" s="43"/>
      <c r="G204" s="149"/>
      <c r="H204" s="148"/>
      <c r="I204" s="147"/>
      <c r="J204" s="98"/>
    </row>
    <row r="205" spans="1:10">
      <c r="A205" s="150">
        <v>201</v>
      </c>
      <c r="B205" s="74"/>
      <c r="C205" s="74"/>
      <c r="D205" s="74"/>
      <c r="E205" s="42"/>
      <c r="F205" s="43"/>
      <c r="G205" s="149"/>
      <c r="H205" s="148"/>
      <c r="I205" s="147"/>
      <c r="J205" s="98"/>
    </row>
    <row r="206" spans="1:10">
      <c r="A206" s="150">
        <v>202</v>
      </c>
      <c r="B206" s="74"/>
      <c r="C206" s="74"/>
      <c r="D206" s="74"/>
      <c r="E206" s="42"/>
      <c r="F206" s="43"/>
      <c r="G206" s="149"/>
      <c r="H206" s="148"/>
      <c r="I206" s="147"/>
      <c r="J206" s="98"/>
    </row>
    <row r="207" spans="1:10">
      <c r="A207" s="150">
        <v>203</v>
      </c>
      <c r="B207" s="74"/>
      <c r="C207" s="74"/>
      <c r="D207" s="74"/>
      <c r="E207" s="42"/>
      <c r="F207" s="43"/>
      <c r="G207" s="149"/>
      <c r="H207" s="148"/>
      <c r="I207" s="147"/>
      <c r="J207" s="98"/>
    </row>
    <row r="208" spans="1:10">
      <c r="A208" s="150">
        <v>204</v>
      </c>
      <c r="B208" s="74"/>
      <c r="C208" s="74"/>
      <c r="D208" s="74"/>
      <c r="E208" s="42"/>
      <c r="F208" s="43"/>
      <c r="G208" s="149"/>
      <c r="H208" s="148"/>
      <c r="I208" s="147"/>
      <c r="J208" s="98"/>
    </row>
    <row r="209" spans="1:10">
      <c r="A209" s="150">
        <v>205</v>
      </c>
      <c r="B209" s="74"/>
      <c r="C209" s="74"/>
      <c r="D209" s="74"/>
      <c r="E209" s="42"/>
      <c r="F209" s="43"/>
      <c r="G209" s="149"/>
      <c r="H209" s="148"/>
      <c r="I209" s="147"/>
      <c r="J209" s="98"/>
    </row>
    <row r="210" spans="1:10">
      <c r="A210" s="150">
        <v>206</v>
      </c>
      <c r="B210" s="74"/>
      <c r="C210" s="74"/>
      <c r="D210" s="74"/>
      <c r="E210" s="42"/>
      <c r="F210" s="43"/>
      <c r="G210" s="149"/>
      <c r="H210" s="148"/>
      <c r="I210" s="147"/>
      <c r="J210" s="98"/>
    </row>
    <row r="211" spans="1:10">
      <c r="A211" s="150">
        <v>207</v>
      </c>
      <c r="B211" s="74"/>
      <c r="C211" s="74"/>
      <c r="D211" s="74"/>
      <c r="E211" s="42"/>
      <c r="F211" s="43"/>
      <c r="G211" s="149"/>
      <c r="H211" s="148"/>
      <c r="I211" s="147"/>
      <c r="J211" s="98"/>
    </row>
    <row r="212" spans="1:10">
      <c r="A212" s="150">
        <v>208</v>
      </c>
      <c r="B212" s="74"/>
      <c r="C212" s="74"/>
      <c r="D212" s="74"/>
      <c r="E212" s="42"/>
      <c r="F212" s="43"/>
      <c r="G212" s="149"/>
      <c r="H212" s="148"/>
      <c r="I212" s="147"/>
      <c r="J212" s="98"/>
    </row>
    <row r="213" spans="1:10">
      <c r="A213" s="150">
        <v>209</v>
      </c>
      <c r="B213" s="74"/>
      <c r="C213" s="74"/>
      <c r="D213" s="74"/>
      <c r="E213" s="42"/>
      <c r="F213" s="43"/>
      <c r="G213" s="149"/>
      <c r="H213" s="148"/>
      <c r="I213" s="147"/>
      <c r="J213" s="98"/>
    </row>
    <row r="214" spans="1:10">
      <c r="A214" s="150">
        <v>210</v>
      </c>
      <c r="B214" s="74"/>
      <c r="C214" s="74"/>
      <c r="D214" s="74"/>
      <c r="E214" s="42"/>
      <c r="F214" s="43"/>
      <c r="G214" s="149"/>
      <c r="H214" s="148"/>
      <c r="I214" s="147"/>
      <c r="J214" s="98"/>
    </row>
    <row r="215" spans="1:10">
      <c r="A215" s="150">
        <v>211</v>
      </c>
      <c r="B215" s="74"/>
      <c r="C215" s="74"/>
      <c r="D215" s="74"/>
      <c r="E215" s="42"/>
      <c r="F215" s="43"/>
      <c r="G215" s="149"/>
      <c r="H215" s="148"/>
      <c r="I215" s="147"/>
      <c r="J215" s="98"/>
    </row>
    <row r="216" spans="1:10">
      <c r="A216" s="150">
        <v>212</v>
      </c>
      <c r="B216" s="74"/>
      <c r="C216" s="74"/>
      <c r="D216" s="74"/>
      <c r="E216" s="42"/>
      <c r="F216" s="43"/>
      <c r="G216" s="149"/>
      <c r="H216" s="148"/>
      <c r="I216" s="147"/>
      <c r="J216" s="98"/>
    </row>
    <row r="217" spans="1:10">
      <c r="A217" s="150">
        <v>213</v>
      </c>
      <c r="B217" s="74"/>
      <c r="C217" s="74"/>
      <c r="D217" s="74"/>
      <c r="E217" s="42"/>
      <c r="F217" s="43"/>
      <c r="G217" s="149"/>
      <c r="H217" s="148"/>
      <c r="I217" s="147"/>
      <c r="J217" s="98"/>
    </row>
    <row r="218" spans="1:10">
      <c r="A218" s="150">
        <v>214</v>
      </c>
      <c r="B218" s="74"/>
      <c r="C218" s="74"/>
      <c r="D218" s="74"/>
      <c r="E218" s="42"/>
      <c r="F218" s="43"/>
      <c r="G218" s="149"/>
      <c r="H218" s="148"/>
      <c r="I218" s="147"/>
      <c r="J218" s="98"/>
    </row>
    <row r="219" spans="1:10">
      <c r="A219" s="150">
        <v>215</v>
      </c>
      <c r="B219" s="74"/>
      <c r="C219" s="74"/>
      <c r="D219" s="74"/>
      <c r="E219" s="42"/>
      <c r="F219" s="43"/>
      <c r="G219" s="149"/>
      <c r="H219" s="148"/>
      <c r="I219" s="147"/>
      <c r="J219" s="98"/>
    </row>
    <row r="220" spans="1:10">
      <c r="A220" s="150">
        <v>216</v>
      </c>
      <c r="B220" s="74"/>
      <c r="C220" s="74"/>
      <c r="D220" s="74"/>
      <c r="E220" s="42"/>
      <c r="F220" s="43"/>
      <c r="G220" s="149"/>
      <c r="H220" s="148"/>
      <c r="I220" s="147"/>
      <c r="J220" s="98"/>
    </row>
    <row r="221" spans="1:10">
      <c r="A221" s="150">
        <v>217</v>
      </c>
      <c r="B221" s="74"/>
      <c r="C221" s="74"/>
      <c r="D221" s="74"/>
      <c r="E221" s="42"/>
      <c r="F221" s="43"/>
      <c r="G221" s="149"/>
      <c r="H221" s="148"/>
      <c r="I221" s="147"/>
      <c r="J221" s="98"/>
    </row>
    <row r="222" spans="1:10">
      <c r="A222" s="150">
        <v>218</v>
      </c>
      <c r="B222" s="74"/>
      <c r="C222" s="74"/>
      <c r="D222" s="74"/>
      <c r="E222" s="42"/>
      <c r="F222" s="43"/>
      <c r="G222" s="149"/>
      <c r="H222" s="148"/>
      <c r="I222" s="147"/>
      <c r="J222" s="98"/>
    </row>
    <row r="223" spans="1:10">
      <c r="A223" s="150">
        <v>219</v>
      </c>
      <c r="B223" s="74"/>
      <c r="C223" s="74"/>
      <c r="D223" s="74"/>
      <c r="E223" s="42"/>
      <c r="F223" s="43"/>
      <c r="G223" s="149"/>
      <c r="H223" s="148"/>
      <c r="I223" s="147"/>
      <c r="J223" s="98"/>
    </row>
    <row r="224" spans="1:10">
      <c r="A224" s="150">
        <v>220</v>
      </c>
      <c r="B224" s="74"/>
      <c r="C224" s="74"/>
      <c r="D224" s="74"/>
      <c r="E224" s="42"/>
      <c r="F224" s="43"/>
      <c r="G224" s="149"/>
      <c r="H224" s="148"/>
      <c r="I224" s="147"/>
      <c r="J224" s="98"/>
    </row>
    <row r="225" spans="1:10">
      <c r="A225" s="150">
        <v>221</v>
      </c>
      <c r="B225" s="74"/>
      <c r="C225" s="74"/>
      <c r="D225" s="74"/>
      <c r="E225" s="42"/>
      <c r="F225" s="43"/>
      <c r="G225" s="149"/>
      <c r="H225" s="148"/>
      <c r="I225" s="147"/>
      <c r="J225" s="98"/>
    </row>
    <row r="226" spans="1:10">
      <c r="A226" s="150">
        <v>222</v>
      </c>
      <c r="B226" s="74"/>
      <c r="C226" s="74"/>
      <c r="D226" s="74"/>
      <c r="E226" s="42"/>
      <c r="F226" s="43"/>
      <c r="G226" s="149"/>
      <c r="H226" s="148"/>
      <c r="I226" s="147"/>
      <c r="J226" s="98"/>
    </row>
    <row r="227" spans="1:10">
      <c r="A227" s="150">
        <v>223</v>
      </c>
      <c r="B227" s="74"/>
      <c r="C227" s="74"/>
      <c r="D227" s="74"/>
      <c r="E227" s="42"/>
      <c r="F227" s="43"/>
      <c r="G227" s="149"/>
      <c r="H227" s="148"/>
      <c r="I227" s="147"/>
      <c r="J227" s="98"/>
    </row>
    <row r="228" spans="1:10">
      <c r="A228" s="150">
        <v>224</v>
      </c>
      <c r="B228" s="74"/>
      <c r="C228" s="74"/>
      <c r="D228" s="74"/>
      <c r="E228" s="42"/>
      <c r="F228" s="43"/>
      <c r="G228" s="149"/>
      <c r="H228" s="148"/>
      <c r="I228" s="147"/>
      <c r="J228" s="98"/>
    </row>
    <row r="229" spans="1:10">
      <c r="A229" s="150">
        <v>225</v>
      </c>
      <c r="B229" s="74"/>
      <c r="C229" s="74"/>
      <c r="D229" s="74"/>
      <c r="E229" s="42"/>
      <c r="F229" s="43"/>
      <c r="G229" s="149"/>
      <c r="H229" s="148"/>
      <c r="I229" s="147"/>
      <c r="J229" s="98"/>
    </row>
    <row r="230" spans="1:10">
      <c r="A230" s="150">
        <v>226</v>
      </c>
      <c r="B230" s="74"/>
      <c r="C230" s="74"/>
      <c r="D230" s="74"/>
      <c r="E230" s="42"/>
      <c r="F230" s="43"/>
      <c r="G230" s="149"/>
      <c r="H230" s="148"/>
      <c r="I230" s="147"/>
      <c r="J230" s="98"/>
    </row>
    <row r="231" spans="1:10">
      <c r="A231" s="150">
        <v>227</v>
      </c>
      <c r="B231" s="74"/>
      <c r="C231" s="74"/>
      <c r="D231" s="74"/>
      <c r="E231" s="42"/>
      <c r="F231" s="43"/>
      <c r="G231" s="149"/>
      <c r="H231" s="148"/>
      <c r="I231" s="147"/>
      <c r="J231" s="98"/>
    </row>
    <row r="232" spans="1:10">
      <c r="A232" s="150">
        <v>228</v>
      </c>
      <c r="B232" s="74"/>
      <c r="C232" s="74"/>
      <c r="D232" s="74"/>
      <c r="E232" s="42"/>
      <c r="F232" s="43"/>
      <c r="G232" s="149"/>
      <c r="H232" s="148"/>
      <c r="I232" s="147"/>
      <c r="J232" s="98"/>
    </row>
    <row r="233" spans="1:10">
      <c r="A233" s="150">
        <v>229</v>
      </c>
      <c r="B233" s="74"/>
      <c r="C233" s="74"/>
      <c r="D233" s="74"/>
      <c r="E233" s="42"/>
      <c r="F233" s="43"/>
      <c r="G233" s="149"/>
      <c r="H233" s="148"/>
      <c r="I233" s="147"/>
      <c r="J233" s="98"/>
    </row>
    <row r="234" spans="1:10">
      <c r="A234" s="150">
        <v>230</v>
      </c>
      <c r="B234" s="74"/>
      <c r="C234" s="74"/>
      <c r="D234" s="74"/>
      <c r="E234" s="42"/>
      <c r="F234" s="43"/>
      <c r="G234" s="149"/>
      <c r="H234" s="148"/>
      <c r="I234" s="147"/>
      <c r="J234" s="98"/>
    </row>
    <row r="235" spans="1:10">
      <c r="A235" s="150">
        <v>231</v>
      </c>
      <c r="B235" s="74"/>
      <c r="C235" s="74"/>
      <c r="D235" s="74"/>
      <c r="E235" s="42"/>
      <c r="F235" s="43"/>
      <c r="G235" s="149"/>
      <c r="H235" s="148"/>
      <c r="I235" s="147"/>
      <c r="J235" s="98"/>
    </row>
    <row r="236" spans="1:10">
      <c r="A236" s="150">
        <v>232</v>
      </c>
      <c r="B236" s="74"/>
      <c r="C236" s="74"/>
      <c r="D236" s="74"/>
      <c r="E236" s="42"/>
      <c r="F236" s="43"/>
      <c r="G236" s="149"/>
      <c r="H236" s="148"/>
      <c r="I236" s="147"/>
      <c r="J236" s="98"/>
    </row>
    <row r="237" spans="1:10">
      <c r="A237" s="150">
        <v>233</v>
      </c>
      <c r="B237" s="74"/>
      <c r="C237" s="74"/>
      <c r="D237" s="74"/>
      <c r="E237" s="42"/>
      <c r="F237" s="43"/>
      <c r="G237" s="149"/>
      <c r="H237" s="148"/>
      <c r="I237" s="147"/>
      <c r="J237" s="98"/>
    </row>
    <row r="238" spans="1:10">
      <c r="A238" s="150">
        <v>234</v>
      </c>
      <c r="B238" s="74"/>
      <c r="C238" s="74"/>
      <c r="D238" s="74"/>
      <c r="E238" s="42"/>
      <c r="F238" s="43"/>
      <c r="G238" s="149"/>
      <c r="H238" s="148"/>
      <c r="I238" s="147"/>
      <c r="J238" s="98"/>
    </row>
    <row r="239" spans="1:10">
      <c r="A239" s="150">
        <v>235</v>
      </c>
      <c r="B239" s="74"/>
      <c r="C239" s="74"/>
      <c r="D239" s="74"/>
      <c r="E239" s="42"/>
      <c r="F239" s="43"/>
      <c r="G239" s="149"/>
      <c r="H239" s="148"/>
      <c r="I239" s="147"/>
      <c r="J239" s="98"/>
    </row>
    <row r="240" spans="1:10">
      <c r="A240" s="150">
        <v>236</v>
      </c>
      <c r="B240" s="74"/>
      <c r="C240" s="74"/>
      <c r="D240" s="74"/>
      <c r="E240" s="42"/>
      <c r="F240" s="43"/>
      <c r="G240" s="149"/>
      <c r="H240" s="148"/>
      <c r="I240" s="147"/>
      <c r="J240" s="98"/>
    </row>
    <row r="241" spans="1:10">
      <c r="A241" s="150">
        <v>237</v>
      </c>
      <c r="B241" s="74"/>
      <c r="C241" s="74"/>
      <c r="D241" s="74"/>
      <c r="E241" s="42"/>
      <c r="F241" s="43"/>
      <c r="G241" s="149"/>
      <c r="H241" s="148"/>
      <c r="I241" s="147"/>
      <c r="J241" s="98"/>
    </row>
    <row r="242" spans="1:10">
      <c r="A242" s="150">
        <v>238</v>
      </c>
      <c r="B242" s="74"/>
      <c r="C242" s="74"/>
      <c r="D242" s="74"/>
      <c r="E242" s="42"/>
      <c r="F242" s="43"/>
      <c r="G242" s="149"/>
      <c r="H242" s="148"/>
      <c r="I242" s="147"/>
      <c r="J242" s="98"/>
    </row>
    <row r="243" spans="1:10">
      <c r="A243" s="150">
        <v>239</v>
      </c>
      <c r="B243" s="74"/>
      <c r="C243" s="74"/>
      <c r="D243" s="74"/>
      <c r="E243" s="42"/>
      <c r="F243" s="43"/>
      <c r="G243" s="149"/>
      <c r="H243" s="148"/>
      <c r="I243" s="147"/>
      <c r="J243" s="98"/>
    </row>
    <row r="244" spans="1:10">
      <c r="A244" s="150">
        <v>240</v>
      </c>
      <c r="B244" s="74"/>
      <c r="C244" s="74"/>
      <c r="D244" s="74"/>
      <c r="E244" s="42"/>
      <c r="F244" s="43"/>
      <c r="G244" s="149"/>
      <c r="H244" s="148"/>
      <c r="I244" s="147"/>
      <c r="J244" s="98"/>
    </row>
    <row r="245" spans="1:10">
      <c r="A245" s="150">
        <v>241</v>
      </c>
      <c r="B245" s="74"/>
      <c r="C245" s="74"/>
      <c r="D245" s="74"/>
      <c r="E245" s="42"/>
      <c r="F245" s="43"/>
      <c r="G245" s="149"/>
      <c r="H245" s="148"/>
      <c r="I245" s="147"/>
      <c r="J245" s="98"/>
    </row>
    <row r="246" spans="1:10">
      <c r="A246" s="150">
        <v>242</v>
      </c>
      <c r="B246" s="74"/>
      <c r="C246" s="74"/>
      <c r="D246" s="74"/>
      <c r="E246" s="42"/>
      <c r="F246" s="43"/>
      <c r="G246" s="149"/>
      <c r="H246" s="148"/>
      <c r="I246" s="147"/>
      <c r="J246" s="98"/>
    </row>
    <row r="247" spans="1:10">
      <c r="A247" s="150">
        <v>243</v>
      </c>
      <c r="B247" s="74"/>
      <c r="C247" s="74"/>
      <c r="D247" s="74"/>
      <c r="E247" s="42"/>
      <c r="F247" s="43"/>
      <c r="G247" s="149"/>
      <c r="H247" s="148"/>
      <c r="I247" s="147"/>
      <c r="J247" s="98"/>
    </row>
    <row r="248" spans="1:10">
      <c r="A248" s="150">
        <v>244</v>
      </c>
      <c r="B248" s="74"/>
      <c r="C248" s="74"/>
      <c r="D248" s="74"/>
      <c r="E248" s="42"/>
      <c r="F248" s="43"/>
      <c r="G248" s="149"/>
      <c r="H248" s="148"/>
      <c r="I248" s="147"/>
      <c r="J248" s="98"/>
    </row>
    <row r="249" spans="1:10">
      <c r="A249" s="150">
        <v>245</v>
      </c>
      <c r="B249" s="74"/>
      <c r="C249" s="74"/>
      <c r="D249" s="74"/>
      <c r="E249" s="42"/>
      <c r="F249" s="43"/>
      <c r="G249" s="149"/>
      <c r="H249" s="148"/>
      <c r="I249" s="147"/>
      <c r="J249" s="98"/>
    </row>
    <row r="250" spans="1:10">
      <c r="A250" s="150">
        <v>246</v>
      </c>
      <c r="B250" s="74"/>
      <c r="C250" s="74"/>
      <c r="D250" s="74"/>
      <c r="E250" s="42"/>
      <c r="F250" s="43"/>
      <c r="G250" s="149"/>
      <c r="H250" s="148"/>
      <c r="I250" s="147"/>
      <c r="J250" s="98"/>
    </row>
    <row r="251" spans="1:10">
      <c r="A251" s="150">
        <v>247</v>
      </c>
      <c r="B251" s="74"/>
      <c r="C251" s="74"/>
      <c r="D251" s="74"/>
      <c r="E251" s="42"/>
      <c r="F251" s="43"/>
      <c r="G251" s="149"/>
      <c r="H251" s="148"/>
      <c r="I251" s="147"/>
      <c r="J251" s="98"/>
    </row>
    <row r="252" spans="1:10">
      <c r="A252" s="150">
        <v>248</v>
      </c>
      <c r="B252" s="74"/>
      <c r="C252" s="74"/>
      <c r="D252" s="74"/>
      <c r="E252" s="42"/>
      <c r="F252" s="43"/>
      <c r="G252" s="149"/>
      <c r="H252" s="148"/>
      <c r="I252" s="147"/>
      <c r="J252" s="98"/>
    </row>
    <row r="253" spans="1:10">
      <c r="A253" s="150">
        <v>249</v>
      </c>
      <c r="B253" s="74"/>
      <c r="C253" s="74"/>
      <c r="D253" s="74"/>
      <c r="E253" s="42"/>
      <c r="F253" s="43"/>
      <c r="G253" s="149"/>
      <c r="H253" s="148"/>
      <c r="I253" s="147"/>
      <c r="J253" s="98"/>
    </row>
    <row r="254" spans="1:10">
      <c r="A254" s="150">
        <v>250</v>
      </c>
      <c r="B254" s="74"/>
      <c r="C254" s="74"/>
      <c r="D254" s="74"/>
      <c r="E254" s="42"/>
      <c r="F254" s="43"/>
      <c r="G254" s="149"/>
      <c r="H254" s="148"/>
      <c r="I254" s="147"/>
      <c r="J254" s="98"/>
    </row>
    <row r="255" spans="1:10">
      <c r="A255" s="150">
        <v>251</v>
      </c>
      <c r="B255" s="74"/>
      <c r="C255" s="74"/>
      <c r="D255" s="74"/>
      <c r="E255" s="42"/>
      <c r="F255" s="43"/>
      <c r="G255" s="149"/>
      <c r="H255" s="148"/>
      <c r="I255" s="147"/>
      <c r="J255" s="98"/>
    </row>
    <row r="256" spans="1:10">
      <c r="A256" s="150">
        <v>252</v>
      </c>
      <c r="B256" s="74"/>
      <c r="C256" s="74"/>
      <c r="D256" s="74"/>
      <c r="E256" s="42"/>
      <c r="F256" s="43"/>
      <c r="G256" s="149"/>
      <c r="H256" s="148"/>
      <c r="I256" s="147"/>
      <c r="J256" s="98"/>
    </row>
    <row r="257" spans="1:10">
      <c r="A257" s="150">
        <v>253</v>
      </c>
      <c r="B257" s="74"/>
      <c r="C257" s="74"/>
      <c r="D257" s="74"/>
      <c r="E257" s="42"/>
      <c r="F257" s="43"/>
      <c r="G257" s="149"/>
      <c r="H257" s="148"/>
      <c r="I257" s="147"/>
      <c r="J257" s="98"/>
    </row>
    <row r="258" spans="1:10">
      <c r="A258" s="150">
        <v>254</v>
      </c>
      <c r="B258" s="74"/>
      <c r="C258" s="74"/>
      <c r="D258" s="74"/>
      <c r="E258" s="42"/>
      <c r="F258" s="43"/>
      <c r="G258" s="149"/>
      <c r="H258" s="148"/>
      <c r="I258" s="147"/>
      <c r="J258" s="98"/>
    </row>
    <row r="259" spans="1:10">
      <c r="A259" s="150">
        <v>255</v>
      </c>
      <c r="B259" s="74"/>
      <c r="C259" s="74"/>
      <c r="D259" s="74"/>
      <c r="E259" s="42"/>
      <c r="F259" s="43"/>
      <c r="G259" s="149"/>
      <c r="H259" s="148"/>
      <c r="I259" s="147"/>
      <c r="J259" s="98"/>
    </row>
    <row r="260" spans="1:10">
      <c r="A260" s="150">
        <v>256</v>
      </c>
      <c r="B260" s="74"/>
      <c r="C260" s="74"/>
      <c r="D260" s="74"/>
      <c r="E260" s="42"/>
      <c r="F260" s="43"/>
      <c r="G260" s="149"/>
      <c r="H260" s="148"/>
      <c r="I260" s="147"/>
      <c r="J260" s="98"/>
    </row>
    <row r="261" spans="1:10">
      <c r="A261" s="150">
        <v>257</v>
      </c>
      <c r="B261" s="74"/>
      <c r="C261" s="74"/>
      <c r="D261" s="74"/>
      <c r="E261" s="42"/>
      <c r="F261" s="43"/>
      <c r="G261" s="149"/>
      <c r="H261" s="148"/>
      <c r="I261" s="147"/>
      <c r="J261" s="98"/>
    </row>
    <row r="262" spans="1:10">
      <c r="A262" s="150">
        <v>258</v>
      </c>
      <c r="B262" s="74"/>
      <c r="C262" s="74"/>
      <c r="D262" s="74"/>
      <c r="E262" s="42"/>
      <c r="F262" s="43"/>
      <c r="G262" s="149"/>
      <c r="H262" s="148"/>
      <c r="I262" s="147"/>
      <c r="J262" s="98"/>
    </row>
    <row r="263" spans="1:10">
      <c r="A263" s="150">
        <v>259</v>
      </c>
      <c r="B263" s="74"/>
      <c r="C263" s="74"/>
      <c r="D263" s="74"/>
      <c r="E263" s="42"/>
      <c r="F263" s="43"/>
      <c r="G263" s="149"/>
      <c r="H263" s="148"/>
      <c r="I263" s="147"/>
      <c r="J263" s="98"/>
    </row>
    <row r="264" spans="1:10">
      <c r="A264" s="150">
        <v>260</v>
      </c>
      <c r="B264" s="74"/>
      <c r="C264" s="74"/>
      <c r="D264" s="74"/>
      <c r="E264" s="42"/>
      <c r="F264" s="43"/>
      <c r="G264" s="149"/>
      <c r="H264" s="148"/>
      <c r="I264" s="147"/>
      <c r="J264" s="98"/>
    </row>
    <row r="265" spans="1:10">
      <c r="A265" s="150">
        <v>261</v>
      </c>
      <c r="B265" s="74"/>
      <c r="C265" s="74"/>
      <c r="D265" s="74"/>
      <c r="E265" s="42"/>
      <c r="F265" s="43"/>
      <c r="G265" s="149"/>
      <c r="H265" s="148"/>
      <c r="I265" s="147"/>
      <c r="J265" s="98"/>
    </row>
    <row r="266" spans="1:10">
      <c r="A266" s="150">
        <v>262</v>
      </c>
      <c r="B266" s="74"/>
      <c r="C266" s="74"/>
      <c r="D266" s="74"/>
      <c r="E266" s="42"/>
      <c r="F266" s="43"/>
      <c r="G266" s="149"/>
      <c r="H266" s="148"/>
      <c r="I266" s="147"/>
      <c r="J266" s="98"/>
    </row>
    <row r="267" spans="1:10">
      <c r="A267" s="150">
        <v>263</v>
      </c>
      <c r="B267" s="74"/>
      <c r="C267" s="74"/>
      <c r="D267" s="74"/>
      <c r="E267" s="42"/>
      <c r="F267" s="43"/>
      <c r="G267" s="149"/>
      <c r="H267" s="148"/>
      <c r="I267" s="147"/>
      <c r="J267" s="98"/>
    </row>
    <row r="268" spans="1:10">
      <c r="A268" s="150">
        <v>264</v>
      </c>
      <c r="B268" s="74"/>
      <c r="C268" s="74"/>
      <c r="D268" s="74"/>
      <c r="E268" s="42"/>
      <c r="F268" s="43"/>
      <c r="G268" s="149"/>
      <c r="H268" s="148"/>
      <c r="I268" s="147"/>
      <c r="J268" s="98"/>
    </row>
    <row r="269" spans="1:10">
      <c r="A269" s="150">
        <v>265</v>
      </c>
      <c r="B269" s="74"/>
      <c r="C269" s="74"/>
      <c r="D269" s="74"/>
      <c r="E269" s="42"/>
      <c r="F269" s="43"/>
      <c r="G269" s="149"/>
      <c r="H269" s="148"/>
      <c r="I269" s="147"/>
      <c r="J269" s="98"/>
    </row>
    <row r="270" spans="1:10">
      <c r="A270" s="150">
        <v>266</v>
      </c>
      <c r="B270" s="74"/>
      <c r="C270" s="74"/>
      <c r="D270" s="74"/>
      <c r="E270" s="42"/>
      <c r="F270" s="43"/>
      <c r="G270" s="149"/>
      <c r="H270" s="148"/>
      <c r="I270" s="147"/>
      <c r="J270" s="98"/>
    </row>
    <row r="271" spans="1:10">
      <c r="A271" s="150">
        <v>267</v>
      </c>
      <c r="B271" s="74"/>
      <c r="C271" s="74"/>
      <c r="D271" s="74"/>
      <c r="E271" s="42"/>
      <c r="F271" s="43"/>
      <c r="G271" s="149"/>
      <c r="H271" s="148"/>
      <c r="I271" s="147"/>
      <c r="J271" s="98"/>
    </row>
    <row r="272" spans="1:10">
      <c r="A272" s="150">
        <v>268</v>
      </c>
      <c r="B272" s="74"/>
      <c r="C272" s="74"/>
      <c r="D272" s="74"/>
      <c r="E272" s="42"/>
      <c r="F272" s="43"/>
      <c r="G272" s="149"/>
      <c r="H272" s="148"/>
      <c r="I272" s="147"/>
      <c r="J272" s="98"/>
    </row>
    <row r="273" spans="1:10">
      <c r="A273" s="150">
        <v>269</v>
      </c>
      <c r="B273" s="74"/>
      <c r="C273" s="74"/>
      <c r="D273" s="74"/>
      <c r="E273" s="42"/>
      <c r="F273" s="43"/>
      <c r="G273" s="149"/>
      <c r="H273" s="148"/>
      <c r="I273" s="147"/>
      <c r="J273" s="98"/>
    </row>
    <row r="274" spans="1:10">
      <c r="A274" s="150">
        <v>270</v>
      </c>
      <c r="B274" s="74"/>
      <c r="C274" s="74"/>
      <c r="D274" s="74"/>
      <c r="E274" s="42"/>
      <c r="F274" s="43"/>
      <c r="G274" s="149"/>
      <c r="H274" s="148"/>
      <c r="I274" s="147"/>
      <c r="J274" s="98"/>
    </row>
    <row r="275" spans="1:10">
      <c r="A275" s="150">
        <v>271</v>
      </c>
      <c r="B275" s="74"/>
      <c r="C275" s="74"/>
      <c r="D275" s="74"/>
      <c r="E275" s="42"/>
      <c r="F275" s="43"/>
      <c r="G275" s="149"/>
      <c r="H275" s="148"/>
      <c r="I275" s="147"/>
      <c r="J275" s="98"/>
    </row>
    <row r="276" spans="1:10">
      <c r="A276" s="150">
        <v>272</v>
      </c>
      <c r="B276" s="74"/>
      <c r="C276" s="74"/>
      <c r="D276" s="74"/>
      <c r="E276" s="42"/>
      <c r="F276" s="43"/>
      <c r="G276" s="149"/>
      <c r="H276" s="148"/>
      <c r="I276" s="147"/>
      <c r="J276" s="98"/>
    </row>
    <row r="277" spans="1:10">
      <c r="A277" s="150">
        <v>273</v>
      </c>
      <c r="B277" s="74"/>
      <c r="C277" s="74"/>
      <c r="D277" s="74"/>
      <c r="E277" s="42"/>
      <c r="F277" s="43"/>
      <c r="G277" s="149"/>
      <c r="H277" s="148"/>
      <c r="I277" s="147"/>
      <c r="J277" s="98"/>
    </row>
    <row r="278" spans="1:10">
      <c r="A278" s="150">
        <v>274</v>
      </c>
      <c r="B278" s="74"/>
      <c r="C278" s="74"/>
      <c r="D278" s="74"/>
      <c r="E278" s="42"/>
      <c r="F278" s="43"/>
      <c r="G278" s="149"/>
      <c r="H278" s="148"/>
      <c r="I278" s="147"/>
      <c r="J278" s="98"/>
    </row>
    <row r="279" spans="1:10">
      <c r="A279" s="150">
        <v>275</v>
      </c>
      <c r="B279" s="74"/>
      <c r="C279" s="74"/>
      <c r="D279" s="74"/>
      <c r="E279" s="42"/>
      <c r="F279" s="43"/>
      <c r="G279" s="149"/>
      <c r="H279" s="148"/>
      <c r="I279" s="147"/>
      <c r="J279" s="98"/>
    </row>
    <row r="280" spans="1:10">
      <c r="A280" s="150">
        <v>276</v>
      </c>
      <c r="B280" s="74"/>
      <c r="C280" s="74"/>
      <c r="D280" s="74"/>
      <c r="E280" s="42"/>
      <c r="F280" s="43"/>
      <c r="G280" s="149"/>
      <c r="H280" s="148"/>
      <c r="I280" s="147"/>
      <c r="J280" s="98"/>
    </row>
    <row r="281" spans="1:10">
      <c r="A281" s="150">
        <v>277</v>
      </c>
      <c r="B281" s="74"/>
      <c r="C281" s="74"/>
      <c r="D281" s="74"/>
      <c r="E281" s="42"/>
      <c r="F281" s="43"/>
      <c r="G281" s="149"/>
      <c r="H281" s="148"/>
      <c r="I281" s="147"/>
      <c r="J281" s="98"/>
    </row>
    <row r="282" spans="1:10">
      <c r="A282" s="150">
        <v>278</v>
      </c>
      <c r="B282" s="74"/>
      <c r="C282" s="74"/>
      <c r="D282" s="74"/>
      <c r="E282" s="42"/>
      <c r="F282" s="43"/>
      <c r="G282" s="149"/>
      <c r="H282" s="148"/>
      <c r="I282" s="147"/>
      <c r="J282" s="98"/>
    </row>
    <row r="283" spans="1:10">
      <c r="A283" s="150">
        <v>279</v>
      </c>
      <c r="B283" s="74"/>
      <c r="C283" s="74"/>
      <c r="D283" s="74"/>
      <c r="E283" s="42"/>
      <c r="F283" s="43"/>
      <c r="G283" s="149"/>
      <c r="H283" s="148"/>
      <c r="I283" s="147"/>
      <c r="J283" s="98"/>
    </row>
    <row r="284" spans="1:10">
      <c r="A284" s="150">
        <v>280</v>
      </c>
      <c r="B284" s="74"/>
      <c r="C284" s="74"/>
      <c r="D284" s="74"/>
      <c r="E284" s="42"/>
      <c r="F284" s="43"/>
      <c r="G284" s="149"/>
      <c r="H284" s="148"/>
      <c r="I284" s="147"/>
      <c r="J284" s="98"/>
    </row>
    <row r="285" spans="1:10">
      <c r="A285" s="150">
        <v>281</v>
      </c>
      <c r="B285" s="74"/>
      <c r="C285" s="74"/>
      <c r="D285" s="74"/>
      <c r="E285" s="42"/>
      <c r="F285" s="43"/>
      <c r="G285" s="149"/>
      <c r="H285" s="148"/>
      <c r="I285" s="147"/>
      <c r="J285" s="98"/>
    </row>
    <row r="286" spans="1:10">
      <c r="A286" s="150">
        <v>282</v>
      </c>
      <c r="B286" s="74"/>
      <c r="C286" s="74"/>
      <c r="D286" s="74"/>
      <c r="E286" s="42"/>
      <c r="F286" s="43"/>
      <c r="G286" s="149"/>
      <c r="H286" s="148"/>
      <c r="I286" s="147"/>
      <c r="J286" s="98"/>
    </row>
    <row r="287" spans="1:10">
      <c r="A287" s="150">
        <v>283</v>
      </c>
      <c r="B287" s="74"/>
      <c r="C287" s="74"/>
      <c r="D287" s="74"/>
      <c r="E287" s="42"/>
      <c r="F287" s="43"/>
      <c r="G287" s="149"/>
      <c r="H287" s="148"/>
      <c r="I287" s="147"/>
      <c r="J287" s="98"/>
    </row>
    <row r="288" spans="1:10">
      <c r="A288" s="150">
        <v>284</v>
      </c>
      <c r="B288" s="74"/>
      <c r="C288" s="74"/>
      <c r="D288" s="74"/>
      <c r="E288" s="42"/>
      <c r="F288" s="43"/>
      <c r="G288" s="149"/>
      <c r="H288" s="148"/>
      <c r="I288" s="147"/>
      <c r="J288" s="98"/>
    </row>
    <row r="289" spans="1:10">
      <c r="A289" s="150">
        <v>285</v>
      </c>
      <c r="B289" s="74"/>
      <c r="C289" s="74"/>
      <c r="D289" s="74"/>
      <c r="E289" s="42"/>
      <c r="F289" s="43"/>
      <c r="G289" s="149"/>
      <c r="H289" s="148"/>
      <c r="I289" s="147"/>
      <c r="J289" s="98"/>
    </row>
    <row r="290" spans="1:10">
      <c r="A290" s="150">
        <v>286</v>
      </c>
      <c r="B290" s="74"/>
      <c r="C290" s="74"/>
      <c r="D290" s="74"/>
      <c r="E290" s="42"/>
      <c r="F290" s="43"/>
      <c r="G290" s="149"/>
      <c r="H290" s="148"/>
      <c r="I290" s="147"/>
      <c r="J290" s="98"/>
    </row>
    <row r="291" spans="1:10">
      <c r="A291" s="150">
        <v>287</v>
      </c>
      <c r="B291" s="74"/>
      <c r="C291" s="74"/>
      <c r="D291" s="74"/>
      <c r="E291" s="42"/>
      <c r="F291" s="43"/>
      <c r="G291" s="149"/>
      <c r="H291" s="148"/>
      <c r="I291" s="147"/>
      <c r="J291" s="98"/>
    </row>
    <row r="292" spans="1:10">
      <c r="A292" s="150">
        <v>288</v>
      </c>
      <c r="B292" s="74"/>
      <c r="C292" s="74"/>
      <c r="D292" s="74"/>
      <c r="E292" s="42"/>
      <c r="F292" s="43"/>
      <c r="G292" s="149"/>
      <c r="H292" s="148"/>
      <c r="I292" s="147"/>
      <c r="J292" s="98"/>
    </row>
    <row r="293" spans="1:10">
      <c r="A293" s="150">
        <v>289</v>
      </c>
      <c r="B293" s="74"/>
      <c r="C293" s="74"/>
      <c r="D293" s="74"/>
      <c r="E293" s="42"/>
      <c r="F293" s="43"/>
      <c r="G293" s="149"/>
      <c r="H293" s="148"/>
      <c r="I293" s="147"/>
      <c r="J293" s="98"/>
    </row>
    <row r="294" spans="1:10">
      <c r="A294" s="150">
        <v>290</v>
      </c>
      <c r="B294" s="74"/>
      <c r="C294" s="74"/>
      <c r="D294" s="74"/>
      <c r="E294" s="42"/>
      <c r="F294" s="43"/>
      <c r="G294" s="149"/>
      <c r="H294" s="148"/>
      <c r="I294" s="147"/>
      <c r="J294" s="98"/>
    </row>
    <row r="295" spans="1:10">
      <c r="A295" s="150">
        <v>291</v>
      </c>
      <c r="B295" s="74"/>
      <c r="C295" s="74"/>
      <c r="D295" s="74"/>
      <c r="E295" s="42"/>
      <c r="F295" s="43"/>
      <c r="G295" s="149"/>
      <c r="H295" s="148"/>
      <c r="I295" s="147"/>
      <c r="J295" s="98"/>
    </row>
    <row r="296" spans="1:10">
      <c r="A296" s="150">
        <v>292</v>
      </c>
      <c r="B296" s="74"/>
      <c r="C296" s="74"/>
      <c r="D296" s="74"/>
      <c r="E296" s="42"/>
      <c r="F296" s="43"/>
      <c r="G296" s="149"/>
      <c r="H296" s="148"/>
      <c r="I296" s="147"/>
      <c r="J296" s="98"/>
    </row>
    <row r="297" spans="1:10">
      <c r="A297" s="150">
        <v>293</v>
      </c>
      <c r="B297" s="74"/>
      <c r="C297" s="74"/>
      <c r="D297" s="74"/>
      <c r="E297" s="42"/>
      <c r="F297" s="43"/>
      <c r="G297" s="149"/>
      <c r="H297" s="148"/>
      <c r="I297" s="147"/>
      <c r="J297" s="98"/>
    </row>
    <row r="298" spans="1:10">
      <c r="A298" s="150">
        <v>294</v>
      </c>
      <c r="B298" s="74"/>
      <c r="C298" s="74"/>
      <c r="D298" s="74"/>
      <c r="E298" s="42"/>
      <c r="F298" s="43"/>
      <c r="G298" s="149"/>
      <c r="H298" s="148"/>
      <c r="I298" s="147"/>
      <c r="J298" s="98"/>
    </row>
    <row r="299" spans="1:10">
      <c r="A299" s="150">
        <v>295</v>
      </c>
      <c r="B299" s="74"/>
      <c r="C299" s="74"/>
      <c r="D299" s="74"/>
      <c r="E299" s="42"/>
      <c r="F299" s="43"/>
      <c r="G299" s="149"/>
      <c r="H299" s="148"/>
      <c r="I299" s="147"/>
      <c r="J299" s="98"/>
    </row>
    <row r="300" spans="1:10">
      <c r="A300" s="150">
        <v>296</v>
      </c>
      <c r="B300" s="74"/>
      <c r="C300" s="74"/>
      <c r="D300" s="74"/>
      <c r="E300" s="42"/>
      <c r="F300" s="43"/>
      <c r="G300" s="149"/>
      <c r="H300" s="148"/>
      <c r="I300" s="147"/>
      <c r="J300" s="98"/>
    </row>
    <row r="301" spans="1:10">
      <c r="A301" s="150">
        <v>297</v>
      </c>
      <c r="B301" s="74"/>
      <c r="C301" s="74"/>
      <c r="D301" s="74"/>
      <c r="E301" s="42"/>
      <c r="F301" s="43"/>
      <c r="G301" s="149"/>
      <c r="H301" s="148"/>
      <c r="I301" s="147"/>
      <c r="J301" s="98"/>
    </row>
    <row r="302" spans="1:10">
      <c r="A302" s="150">
        <v>298</v>
      </c>
      <c r="B302" s="74"/>
      <c r="C302" s="74"/>
      <c r="D302" s="74"/>
      <c r="E302" s="42"/>
      <c r="F302" s="43"/>
      <c r="G302" s="149"/>
      <c r="H302" s="148"/>
      <c r="I302" s="147"/>
      <c r="J302" s="98"/>
    </row>
    <row r="303" spans="1:10">
      <c r="A303" s="150">
        <v>299</v>
      </c>
      <c r="B303" s="74"/>
      <c r="C303" s="74"/>
      <c r="D303" s="74"/>
      <c r="E303" s="42"/>
      <c r="F303" s="43"/>
      <c r="G303" s="149"/>
      <c r="H303" s="148"/>
      <c r="I303" s="147"/>
      <c r="J303" s="98"/>
    </row>
    <row r="304" spans="1:10">
      <c r="A304" s="150">
        <v>300</v>
      </c>
      <c r="B304" s="74"/>
      <c r="C304" s="74"/>
      <c r="D304" s="74"/>
      <c r="E304" s="42"/>
      <c r="F304" s="43"/>
      <c r="G304" s="149"/>
      <c r="H304" s="148"/>
      <c r="I304" s="147"/>
      <c r="J304" s="98"/>
    </row>
  </sheetData>
  <phoneticPr fontId="2" type="noConversion"/>
  <dataValidations count="2">
    <dataValidation type="list" allowBlank="1" showInputMessage="1" showErrorMessage="1" sqref="J5:J304">
      <formula1>"Yes, No"</formula1>
    </dataValidation>
    <dataValidation type="list" allowBlank="1" showInputMessage="1" showErrorMessage="1" sqref="F5:F304">
      <formula1>INDIRECT(E5)</formula1>
    </dataValidation>
  </dataValidations>
  <pageMargins left="0" right="0" top="0" bottom="0" header="0.31496062992125984" footer="0.31496062992125984"/>
  <pageSetup paperSize="9" scale="60"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'Ref)EEIO'!$D$4:$D$38</xm:f>
          </x14:formula1>
          <xm:sqref>E5:E304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1"/>
  <sheetViews>
    <sheetView showGridLines="0" topLeftCell="D1" zoomScale="85" zoomScaleNormal="85" workbookViewId="0">
      <selection activeCell="H27" sqref="H27"/>
    </sheetView>
  </sheetViews>
  <sheetFormatPr defaultRowHeight="16.5"/>
  <cols>
    <col min="1" max="1" width="6.625" customWidth="1"/>
    <col min="2" max="2" width="12" customWidth="1"/>
    <col min="3" max="3" width="30.875" customWidth="1"/>
    <col min="4" max="4" width="15.875" customWidth="1"/>
    <col min="5" max="5" width="32.75" customWidth="1"/>
    <col min="6" max="7" width="22.375" customWidth="1"/>
    <col min="8" max="8" width="21.375" customWidth="1"/>
    <col min="9" max="9" width="31.25" customWidth="1"/>
    <col min="10" max="10" width="22" customWidth="1"/>
    <col min="11" max="11" width="19.875" customWidth="1"/>
    <col min="12" max="12" width="5.375" customWidth="1"/>
  </cols>
  <sheetData>
    <row r="1" spans="1:14" ht="26.25">
      <c r="A1" s="137" t="s">
        <v>374</v>
      </c>
      <c r="B1" s="6"/>
    </row>
    <row r="3" spans="1:14" ht="20.25">
      <c r="A3" s="95" t="s">
        <v>370</v>
      </c>
      <c r="B3" s="6"/>
      <c r="E3" t="s">
        <v>924</v>
      </c>
    </row>
    <row r="4" spans="1:14" ht="46.5">
      <c r="A4" s="29" t="s">
        <v>30</v>
      </c>
      <c r="B4" s="29" t="s">
        <v>26</v>
      </c>
      <c r="C4" s="29" t="s">
        <v>373</v>
      </c>
      <c r="D4" s="29" t="s">
        <v>1025</v>
      </c>
      <c r="E4" s="30" t="s">
        <v>1009</v>
      </c>
      <c r="F4" s="30" t="s">
        <v>889</v>
      </c>
      <c r="G4" s="29" t="s">
        <v>1010</v>
      </c>
      <c r="H4" s="29" t="s">
        <v>1011</v>
      </c>
      <c r="I4" s="30" t="s">
        <v>623</v>
      </c>
      <c r="J4" s="30" t="s">
        <v>1012</v>
      </c>
      <c r="K4" s="30" t="s">
        <v>1032</v>
      </c>
    </row>
    <row r="5" spans="1:14" ht="17.25">
      <c r="A5" s="133">
        <v>1</v>
      </c>
      <c r="B5" s="91" t="s">
        <v>954</v>
      </c>
      <c r="C5" s="87" t="s">
        <v>878</v>
      </c>
      <c r="D5" s="8" t="s">
        <v>1102</v>
      </c>
      <c r="E5" s="88">
        <v>20</v>
      </c>
      <c r="F5" s="87" t="s">
        <v>891</v>
      </c>
      <c r="G5" s="89">
        <v>0.09</v>
      </c>
      <c r="H5" s="47" t="s">
        <v>1103</v>
      </c>
      <c r="I5" s="90"/>
      <c r="J5" s="21">
        <f t="shared" ref="J5:J19" si="0">E5*G5*I5</f>
        <v>0</v>
      </c>
      <c r="K5" s="145" t="s">
        <v>1117</v>
      </c>
      <c r="M5" s="60"/>
      <c r="N5" s="48" t="s">
        <v>839</v>
      </c>
    </row>
    <row r="6" spans="1:14">
      <c r="A6" s="133">
        <v>2</v>
      </c>
      <c r="B6" s="91" t="s">
        <v>954</v>
      </c>
      <c r="C6" s="87" t="s">
        <v>879</v>
      </c>
      <c r="D6" s="8" t="s">
        <v>1101</v>
      </c>
      <c r="E6" s="88"/>
      <c r="F6" s="87" t="s">
        <v>891</v>
      </c>
      <c r="G6" s="89"/>
      <c r="H6" s="47"/>
      <c r="I6" s="90"/>
      <c r="J6" s="21">
        <f t="shared" si="0"/>
        <v>0</v>
      </c>
      <c r="K6" s="145"/>
      <c r="M6" s="49"/>
      <c r="N6" s="50" t="s">
        <v>626</v>
      </c>
    </row>
    <row r="7" spans="1:14">
      <c r="A7" s="133">
        <v>3</v>
      </c>
      <c r="B7" s="91" t="s">
        <v>954</v>
      </c>
      <c r="C7" s="87" t="s">
        <v>880</v>
      </c>
      <c r="D7" s="8" t="s">
        <v>1101</v>
      </c>
      <c r="E7" s="88"/>
      <c r="F7" s="87" t="s">
        <v>891</v>
      </c>
      <c r="G7" s="89"/>
      <c r="H7" s="47"/>
      <c r="I7" s="90"/>
      <c r="J7" s="21">
        <f t="shared" si="0"/>
        <v>0</v>
      </c>
      <c r="K7" s="145"/>
      <c r="M7" s="51"/>
      <c r="N7" s="50" t="s">
        <v>627</v>
      </c>
    </row>
    <row r="8" spans="1:14">
      <c r="A8" s="133">
        <v>4</v>
      </c>
      <c r="B8" s="91" t="s">
        <v>954</v>
      </c>
      <c r="C8" s="87" t="s">
        <v>881</v>
      </c>
      <c r="D8" s="8" t="s">
        <v>1101</v>
      </c>
      <c r="E8" s="88"/>
      <c r="F8" s="87" t="s">
        <v>891</v>
      </c>
      <c r="G8" s="89"/>
      <c r="H8" s="47"/>
      <c r="I8" s="90"/>
      <c r="J8" s="21">
        <f t="shared" si="0"/>
        <v>0</v>
      </c>
      <c r="K8" s="145"/>
      <c r="M8" s="52"/>
      <c r="N8" s="50" t="s">
        <v>628</v>
      </c>
    </row>
    <row r="9" spans="1:14">
      <c r="A9" s="133">
        <v>5</v>
      </c>
      <c r="B9" s="91" t="s">
        <v>954</v>
      </c>
      <c r="C9" s="87" t="s">
        <v>882</v>
      </c>
      <c r="D9" s="8" t="s">
        <v>1101</v>
      </c>
      <c r="E9" s="88"/>
      <c r="F9" s="87" t="s">
        <v>891</v>
      </c>
      <c r="G9" s="89"/>
      <c r="H9" s="47"/>
      <c r="I9" s="90"/>
      <c r="J9" s="21">
        <f t="shared" si="0"/>
        <v>0</v>
      </c>
      <c r="K9" s="145"/>
    </row>
    <row r="10" spans="1:14">
      <c r="A10" s="133">
        <v>6</v>
      </c>
      <c r="B10" s="91" t="s">
        <v>954</v>
      </c>
      <c r="C10" s="87" t="s">
        <v>883</v>
      </c>
      <c r="D10" s="8" t="s">
        <v>1101</v>
      </c>
      <c r="E10" s="88"/>
      <c r="F10" s="87" t="s">
        <v>891</v>
      </c>
      <c r="G10" s="89"/>
      <c r="H10" s="47"/>
      <c r="I10" s="90"/>
      <c r="J10" s="21">
        <f t="shared" si="0"/>
        <v>0</v>
      </c>
      <c r="K10" s="145"/>
      <c r="M10" t="s">
        <v>1034</v>
      </c>
    </row>
    <row r="11" spans="1:14">
      <c r="A11" s="133">
        <v>7</v>
      </c>
      <c r="B11" s="91" t="s">
        <v>954</v>
      </c>
      <c r="C11" s="87" t="s">
        <v>884</v>
      </c>
      <c r="D11" s="8" t="s">
        <v>1101</v>
      </c>
      <c r="E11" s="88"/>
      <c r="F11" s="87" t="s">
        <v>891</v>
      </c>
      <c r="G11" s="89"/>
      <c r="H11" s="47"/>
      <c r="I11" s="90"/>
      <c r="J11" s="21">
        <f t="shared" si="0"/>
        <v>0</v>
      </c>
      <c r="K11" s="145"/>
      <c r="M11" t="s">
        <v>1035</v>
      </c>
    </row>
    <row r="12" spans="1:14">
      <c r="A12" s="133">
        <v>8</v>
      </c>
      <c r="B12" s="91" t="s">
        <v>954</v>
      </c>
      <c r="C12" s="87" t="s">
        <v>885</v>
      </c>
      <c r="D12" s="8" t="s">
        <v>1101</v>
      </c>
      <c r="E12" s="88"/>
      <c r="F12" s="87" t="s">
        <v>891</v>
      </c>
      <c r="G12" s="89"/>
      <c r="H12" s="47"/>
      <c r="I12" s="90"/>
      <c r="J12" s="21">
        <f t="shared" si="0"/>
        <v>0</v>
      </c>
      <c r="K12" s="145"/>
    </row>
    <row r="13" spans="1:14">
      <c r="A13" s="133">
        <v>9</v>
      </c>
      <c r="B13" s="91" t="s">
        <v>954</v>
      </c>
      <c r="C13" s="87" t="s">
        <v>406</v>
      </c>
      <c r="D13" s="8" t="s">
        <v>1101</v>
      </c>
      <c r="E13" s="88"/>
      <c r="F13" s="87" t="s">
        <v>888</v>
      </c>
      <c r="G13" s="89"/>
      <c r="H13" s="47"/>
      <c r="I13" s="90"/>
      <c r="J13" s="21">
        <f t="shared" si="0"/>
        <v>0</v>
      </c>
      <c r="K13" s="145"/>
    </row>
    <row r="14" spans="1:14">
      <c r="A14" s="133">
        <v>10</v>
      </c>
      <c r="B14" s="91" t="s">
        <v>954</v>
      </c>
      <c r="C14" s="87" t="s">
        <v>407</v>
      </c>
      <c r="D14" s="8" t="s">
        <v>1102</v>
      </c>
      <c r="E14" s="88">
        <v>450</v>
      </c>
      <c r="F14" s="87" t="s">
        <v>888</v>
      </c>
      <c r="G14" s="89">
        <v>0.09</v>
      </c>
      <c r="H14" s="47" t="s">
        <v>1103</v>
      </c>
      <c r="I14" s="90"/>
      <c r="J14" s="21">
        <f t="shared" si="0"/>
        <v>0</v>
      </c>
      <c r="K14" s="145" t="s">
        <v>1117</v>
      </c>
    </row>
    <row r="15" spans="1:14">
      <c r="A15" s="133">
        <v>11</v>
      </c>
      <c r="B15" s="91" t="s">
        <v>954</v>
      </c>
      <c r="C15" s="87" t="s">
        <v>886</v>
      </c>
      <c r="D15" s="8" t="s">
        <v>1101</v>
      </c>
      <c r="E15" s="88"/>
      <c r="F15" s="87" t="s">
        <v>891</v>
      </c>
      <c r="G15" s="89"/>
      <c r="H15" s="47"/>
      <c r="I15" s="90"/>
      <c r="J15" s="21">
        <f t="shared" si="0"/>
        <v>0</v>
      </c>
      <c r="K15" s="145"/>
    </row>
    <row r="16" spans="1:14">
      <c r="A16" s="133">
        <v>12</v>
      </c>
      <c r="B16" s="91" t="s">
        <v>954</v>
      </c>
      <c r="C16" s="87" t="s">
        <v>408</v>
      </c>
      <c r="D16" s="8" t="s">
        <v>1101</v>
      </c>
      <c r="E16" s="88"/>
      <c r="F16" s="87" t="s">
        <v>891</v>
      </c>
      <c r="G16" s="89"/>
      <c r="H16" s="47"/>
      <c r="I16" s="90"/>
      <c r="J16" s="21">
        <f t="shared" si="0"/>
        <v>0</v>
      </c>
      <c r="K16" s="145"/>
    </row>
    <row r="17" spans="1:11">
      <c r="A17" s="133">
        <v>13</v>
      </c>
      <c r="B17" s="91" t="s">
        <v>954</v>
      </c>
      <c r="C17" s="86" t="s">
        <v>918</v>
      </c>
      <c r="D17" s="8" t="s">
        <v>1101</v>
      </c>
      <c r="E17" s="88"/>
      <c r="F17" s="87" t="s">
        <v>891</v>
      </c>
      <c r="G17" s="89"/>
      <c r="H17" s="47"/>
      <c r="I17" s="90"/>
      <c r="J17" s="21">
        <f t="shared" si="0"/>
        <v>0</v>
      </c>
      <c r="K17" s="145"/>
    </row>
    <row r="18" spans="1:11">
      <c r="A18" s="133">
        <v>14</v>
      </c>
      <c r="B18" s="91" t="s">
        <v>954</v>
      </c>
      <c r="C18" s="86" t="s">
        <v>918</v>
      </c>
      <c r="D18" s="8" t="s">
        <v>1101</v>
      </c>
      <c r="E18" s="88"/>
      <c r="F18" s="87" t="s">
        <v>891</v>
      </c>
      <c r="G18" s="89"/>
      <c r="H18" s="47"/>
      <c r="I18" s="90"/>
      <c r="J18" s="21">
        <f t="shared" si="0"/>
        <v>0</v>
      </c>
      <c r="K18" s="145"/>
    </row>
    <row r="19" spans="1:11">
      <c r="A19" s="133">
        <v>15</v>
      </c>
      <c r="B19" s="91" t="s">
        <v>954</v>
      </c>
      <c r="C19" s="86" t="s">
        <v>918</v>
      </c>
      <c r="D19" s="8" t="s">
        <v>1101</v>
      </c>
      <c r="E19" s="88"/>
      <c r="F19" s="87" t="s">
        <v>891</v>
      </c>
      <c r="G19" s="89"/>
      <c r="H19" s="47"/>
      <c r="I19" s="90"/>
      <c r="J19" s="21">
        <f t="shared" si="0"/>
        <v>0</v>
      </c>
      <c r="K19" s="145"/>
    </row>
    <row r="21" spans="1:11" ht="20.25">
      <c r="A21" s="95" t="s">
        <v>604</v>
      </c>
      <c r="B21" s="6"/>
    </row>
    <row r="22" spans="1:11" ht="31.5">
      <c r="A22" s="29" t="s">
        <v>30</v>
      </c>
      <c r="B22" s="29" t="s">
        <v>26</v>
      </c>
      <c r="C22" s="29" t="s">
        <v>605</v>
      </c>
      <c r="D22" s="29" t="s">
        <v>1025</v>
      </c>
      <c r="E22" s="30" t="s">
        <v>1013</v>
      </c>
      <c r="F22" s="30" t="s">
        <v>889</v>
      </c>
      <c r="G22" s="29" t="s">
        <v>1010</v>
      </c>
      <c r="H22" s="30"/>
      <c r="I22" s="30" t="s">
        <v>1037</v>
      </c>
      <c r="J22" s="30" t="s">
        <v>1012</v>
      </c>
      <c r="K22" s="30" t="s">
        <v>1031</v>
      </c>
    </row>
    <row r="23" spans="1:11">
      <c r="A23" s="133">
        <v>1</v>
      </c>
      <c r="B23" s="91" t="s">
        <v>612</v>
      </c>
      <c r="C23" s="87" t="s">
        <v>606</v>
      </c>
      <c r="D23" s="8" t="s">
        <v>1101</v>
      </c>
      <c r="E23" s="88"/>
      <c r="F23" s="87" t="s">
        <v>890</v>
      </c>
      <c r="G23" s="89"/>
      <c r="H23" s="92"/>
      <c r="I23" s="93"/>
      <c r="J23" s="21">
        <f>E23*G23*I23/1000</f>
        <v>0</v>
      </c>
      <c r="K23" s="145"/>
    </row>
    <row r="24" spans="1:11">
      <c r="A24" s="133">
        <v>2</v>
      </c>
      <c r="B24" s="91" t="s">
        <v>612</v>
      </c>
      <c r="C24" s="87" t="s">
        <v>607</v>
      </c>
      <c r="D24" s="8" t="s">
        <v>1102</v>
      </c>
      <c r="E24" s="88">
        <v>900</v>
      </c>
      <c r="F24" s="87" t="s">
        <v>890</v>
      </c>
      <c r="G24" s="89">
        <v>0.09</v>
      </c>
      <c r="H24" s="92"/>
      <c r="I24" s="93"/>
      <c r="J24" s="21">
        <f t="shared" ref="J24:J27" si="1">E24*G24*I24/1000</f>
        <v>0</v>
      </c>
      <c r="K24" s="145" t="s">
        <v>1117</v>
      </c>
    </row>
    <row r="25" spans="1:11">
      <c r="A25" s="133">
        <v>3</v>
      </c>
      <c r="B25" s="91" t="s">
        <v>612</v>
      </c>
      <c r="C25" s="87" t="s">
        <v>609</v>
      </c>
      <c r="D25" s="8" t="s">
        <v>1101</v>
      </c>
      <c r="E25" s="88"/>
      <c r="F25" s="87" t="s">
        <v>890</v>
      </c>
      <c r="G25" s="89"/>
      <c r="H25" s="92"/>
      <c r="I25" s="93"/>
      <c r="J25" s="21">
        <f t="shared" si="1"/>
        <v>0</v>
      </c>
      <c r="K25" s="145"/>
    </row>
    <row r="26" spans="1:11">
      <c r="A26" s="133">
        <v>4</v>
      </c>
      <c r="B26" s="91" t="s">
        <v>612</v>
      </c>
      <c r="C26" s="87" t="s">
        <v>877</v>
      </c>
      <c r="D26" s="8" t="s">
        <v>1101</v>
      </c>
      <c r="E26" s="88"/>
      <c r="F26" s="87" t="s">
        <v>890</v>
      </c>
      <c r="G26" s="89"/>
      <c r="H26" s="92"/>
      <c r="I26" s="93"/>
      <c r="J26" s="21">
        <f t="shared" si="1"/>
        <v>0</v>
      </c>
      <c r="K26" s="145"/>
    </row>
    <row r="27" spans="1:11">
      <c r="A27" s="133">
        <v>5</v>
      </c>
      <c r="B27" s="91" t="s">
        <v>612</v>
      </c>
      <c r="C27" s="87" t="s">
        <v>610</v>
      </c>
      <c r="D27" s="8" t="s">
        <v>1101</v>
      </c>
      <c r="E27" s="88"/>
      <c r="F27" s="87" t="s">
        <v>890</v>
      </c>
      <c r="G27" s="89"/>
      <c r="H27" s="92"/>
      <c r="I27" s="93"/>
      <c r="J27" s="21">
        <f t="shared" si="1"/>
        <v>0</v>
      </c>
      <c r="K27" s="145"/>
    </row>
    <row r="29" spans="1:11" ht="20.25">
      <c r="A29" s="95" t="s">
        <v>613</v>
      </c>
      <c r="B29" s="6"/>
      <c r="E29" t="s">
        <v>924</v>
      </c>
    </row>
    <row r="30" spans="1:11" ht="31.5">
      <c r="A30" s="29" t="s">
        <v>30</v>
      </c>
      <c r="B30" s="29" t="s">
        <v>26</v>
      </c>
      <c r="C30" s="29" t="s">
        <v>1028</v>
      </c>
      <c r="D30" s="30" t="s">
        <v>1026</v>
      </c>
      <c r="E30" s="30" t="s">
        <v>1014</v>
      </c>
      <c r="F30" s="30" t="s">
        <v>889</v>
      </c>
      <c r="G30" s="29" t="s">
        <v>1010</v>
      </c>
      <c r="H30" s="30"/>
      <c r="I30" s="30" t="s">
        <v>1038</v>
      </c>
      <c r="J30" s="30" t="s">
        <v>1012</v>
      </c>
      <c r="K30" s="30" t="s">
        <v>1031</v>
      </c>
    </row>
    <row r="31" spans="1:11">
      <c r="A31" s="133">
        <v>1</v>
      </c>
      <c r="B31" s="91" t="s">
        <v>955</v>
      </c>
      <c r="C31" s="87" t="s">
        <v>919</v>
      </c>
      <c r="D31" s="8" t="s">
        <v>1105</v>
      </c>
      <c r="E31" s="88"/>
      <c r="F31" s="87" t="s">
        <v>887</v>
      </c>
      <c r="G31" s="89"/>
      <c r="H31" s="92"/>
      <c r="I31" s="93"/>
      <c r="J31" s="21">
        <f>E31*G31*I31/1000</f>
        <v>0</v>
      </c>
      <c r="K31" s="145"/>
    </row>
    <row r="32" spans="1:11">
      <c r="A32" s="133">
        <v>2</v>
      </c>
      <c r="B32" s="91" t="s">
        <v>955</v>
      </c>
      <c r="C32" s="87" t="s">
        <v>894</v>
      </c>
      <c r="D32" s="8" t="s">
        <v>1107</v>
      </c>
      <c r="E32" s="88">
        <v>4500</v>
      </c>
      <c r="F32" s="87" t="s">
        <v>887</v>
      </c>
      <c r="G32" s="89">
        <v>0.09</v>
      </c>
      <c r="H32" s="92"/>
      <c r="I32" s="93"/>
      <c r="J32" s="21">
        <v>0</v>
      </c>
      <c r="K32" s="145" t="s">
        <v>1117</v>
      </c>
    </row>
    <row r="33" spans="1:11">
      <c r="A33" s="133">
        <v>3</v>
      </c>
      <c r="B33" s="91" t="s">
        <v>955</v>
      </c>
      <c r="C33" s="87" t="s">
        <v>1106</v>
      </c>
      <c r="D33" s="8" t="s">
        <v>1027</v>
      </c>
      <c r="E33" s="88">
        <v>4120</v>
      </c>
      <c r="F33" s="87" t="s">
        <v>887</v>
      </c>
      <c r="H33" s="92"/>
      <c r="I33" s="93"/>
      <c r="J33" s="21">
        <f>E33*G32*I33/1000</f>
        <v>0</v>
      </c>
      <c r="K33" s="145" t="s">
        <v>1117</v>
      </c>
    </row>
    <row r="34" spans="1:11">
      <c r="A34" s="133">
        <v>4</v>
      </c>
      <c r="B34" s="91" t="s">
        <v>955</v>
      </c>
      <c r="C34" s="87" t="s">
        <v>1108</v>
      </c>
      <c r="D34" s="8" t="s">
        <v>1104</v>
      </c>
      <c r="E34" s="88"/>
      <c r="F34" s="87" t="s">
        <v>887</v>
      </c>
      <c r="G34" s="89"/>
      <c r="H34" s="92"/>
      <c r="I34" s="93"/>
      <c r="J34" s="21">
        <f t="shared" ref="J34:J68" si="2">E34*G34*I34/1000</f>
        <v>0</v>
      </c>
      <c r="K34" s="145"/>
    </row>
    <row r="35" spans="1:11">
      <c r="A35" s="133">
        <v>5</v>
      </c>
      <c r="B35" s="91" t="s">
        <v>955</v>
      </c>
      <c r="C35" s="87" t="s">
        <v>921</v>
      </c>
      <c r="D35" s="8" t="s">
        <v>1104</v>
      </c>
      <c r="E35" s="88"/>
      <c r="F35" s="87" t="s">
        <v>887</v>
      </c>
      <c r="G35" s="89"/>
      <c r="H35" s="92"/>
      <c r="I35" s="93"/>
      <c r="J35" s="21">
        <f t="shared" si="2"/>
        <v>0</v>
      </c>
      <c r="K35" s="145"/>
    </row>
    <row r="36" spans="1:11">
      <c r="A36" s="133">
        <v>6</v>
      </c>
      <c r="B36" s="91" t="s">
        <v>955</v>
      </c>
      <c r="C36" s="87" t="s">
        <v>904</v>
      </c>
      <c r="D36" s="8" t="s">
        <v>1104</v>
      </c>
      <c r="E36" s="88"/>
      <c r="F36" s="87" t="s">
        <v>887</v>
      </c>
      <c r="G36" s="89"/>
      <c r="H36" s="92"/>
      <c r="I36" s="93"/>
      <c r="J36" s="21">
        <f t="shared" si="2"/>
        <v>0</v>
      </c>
      <c r="K36" s="145"/>
    </row>
    <row r="37" spans="1:11">
      <c r="A37" s="133">
        <v>7</v>
      </c>
      <c r="B37" s="91" t="s">
        <v>955</v>
      </c>
      <c r="C37" s="87" t="s">
        <v>907</v>
      </c>
      <c r="D37" s="8" t="s">
        <v>1104</v>
      </c>
      <c r="E37" s="88"/>
      <c r="F37" s="87" t="s">
        <v>887</v>
      </c>
      <c r="G37" s="89"/>
      <c r="H37" s="92"/>
      <c r="I37" s="93"/>
      <c r="J37" s="21">
        <f t="shared" si="2"/>
        <v>0</v>
      </c>
      <c r="K37" s="145"/>
    </row>
    <row r="38" spans="1:11">
      <c r="A38" s="133">
        <v>8</v>
      </c>
      <c r="B38" s="91" t="s">
        <v>955</v>
      </c>
      <c r="C38" s="87" t="s">
        <v>1109</v>
      </c>
      <c r="D38" s="8" t="s">
        <v>1104</v>
      </c>
      <c r="E38" s="88"/>
      <c r="F38" s="87" t="s">
        <v>887</v>
      </c>
      <c r="G38" s="89"/>
      <c r="H38" s="92"/>
      <c r="I38" s="93"/>
      <c r="J38" s="21">
        <f t="shared" si="2"/>
        <v>0</v>
      </c>
      <c r="K38" s="145"/>
    </row>
    <row r="39" spans="1:11">
      <c r="A39" s="133">
        <v>9</v>
      </c>
      <c r="B39" s="91" t="s">
        <v>955</v>
      </c>
      <c r="C39" s="87" t="s">
        <v>893</v>
      </c>
      <c r="D39" s="8" t="s">
        <v>1104</v>
      </c>
      <c r="E39" s="88"/>
      <c r="F39" s="87" t="s">
        <v>887</v>
      </c>
      <c r="G39" s="89"/>
      <c r="H39" s="92"/>
      <c r="I39" s="93"/>
      <c r="J39" s="21">
        <f t="shared" si="2"/>
        <v>0</v>
      </c>
      <c r="K39" s="145"/>
    </row>
    <row r="40" spans="1:11">
      <c r="A40" s="133">
        <v>10</v>
      </c>
      <c r="B40" s="91" t="s">
        <v>955</v>
      </c>
      <c r="C40" s="87" t="s">
        <v>913</v>
      </c>
      <c r="D40" s="8" t="s">
        <v>1104</v>
      </c>
      <c r="E40" s="88"/>
      <c r="F40" s="87" t="s">
        <v>887</v>
      </c>
      <c r="G40" s="89"/>
      <c r="H40" s="92"/>
      <c r="I40" s="93"/>
      <c r="J40" s="21">
        <f t="shared" si="2"/>
        <v>0</v>
      </c>
      <c r="K40" s="145"/>
    </row>
    <row r="41" spans="1:11">
      <c r="A41" s="133">
        <v>11</v>
      </c>
      <c r="B41" s="91" t="s">
        <v>955</v>
      </c>
      <c r="C41" s="87" t="s">
        <v>920</v>
      </c>
      <c r="D41" s="8" t="s">
        <v>1104</v>
      </c>
      <c r="E41" s="88"/>
      <c r="F41" s="87" t="s">
        <v>887</v>
      </c>
      <c r="G41" s="89"/>
      <c r="H41" s="92"/>
      <c r="I41" s="93"/>
      <c r="J41" s="21">
        <f t="shared" si="2"/>
        <v>0</v>
      </c>
      <c r="K41" s="145"/>
    </row>
    <row r="42" spans="1:11">
      <c r="A42" s="133">
        <v>12</v>
      </c>
      <c r="B42" s="91" t="s">
        <v>955</v>
      </c>
      <c r="C42" s="87" t="s">
        <v>417</v>
      </c>
      <c r="D42" s="8" t="s">
        <v>1104</v>
      </c>
      <c r="E42" s="88"/>
      <c r="F42" s="87" t="s">
        <v>887</v>
      </c>
      <c r="G42" s="89"/>
      <c r="H42" s="92"/>
      <c r="I42" s="93"/>
      <c r="J42" s="21">
        <f t="shared" si="2"/>
        <v>0</v>
      </c>
      <c r="K42" s="145"/>
    </row>
    <row r="43" spans="1:11">
      <c r="A43" s="133">
        <v>13</v>
      </c>
      <c r="B43" s="91" t="s">
        <v>955</v>
      </c>
      <c r="C43" s="87" t="s">
        <v>1110</v>
      </c>
      <c r="D43" s="8" t="s">
        <v>1104</v>
      </c>
      <c r="E43" s="88"/>
      <c r="F43" s="87" t="s">
        <v>887</v>
      </c>
      <c r="G43" s="89"/>
      <c r="H43" s="92"/>
      <c r="I43" s="93"/>
      <c r="J43" s="21">
        <f t="shared" si="2"/>
        <v>0</v>
      </c>
      <c r="K43" s="145"/>
    </row>
    <row r="44" spans="1:11">
      <c r="A44" s="133">
        <v>14</v>
      </c>
      <c r="B44" s="91" t="s">
        <v>955</v>
      </c>
      <c r="C44" s="87" t="s">
        <v>901</v>
      </c>
      <c r="D44" s="8" t="s">
        <v>1104</v>
      </c>
      <c r="E44" s="88"/>
      <c r="F44" s="87" t="s">
        <v>887</v>
      </c>
      <c r="G44" s="89"/>
      <c r="H44" s="92"/>
      <c r="I44" s="93"/>
      <c r="J44" s="21">
        <f t="shared" si="2"/>
        <v>0</v>
      </c>
      <c r="K44" s="145"/>
    </row>
    <row r="45" spans="1:11">
      <c r="A45" s="133">
        <v>15</v>
      </c>
      <c r="B45" s="91" t="s">
        <v>955</v>
      </c>
      <c r="C45" s="87" t="s">
        <v>903</v>
      </c>
      <c r="D45" s="8" t="s">
        <v>1104</v>
      </c>
      <c r="E45" s="88"/>
      <c r="F45" s="87" t="s">
        <v>887</v>
      </c>
      <c r="G45" s="89"/>
      <c r="H45" s="92"/>
      <c r="I45" s="93"/>
      <c r="J45" s="21">
        <f t="shared" si="2"/>
        <v>0</v>
      </c>
      <c r="K45" s="145"/>
    </row>
    <row r="46" spans="1:11">
      <c r="A46" s="133">
        <v>16</v>
      </c>
      <c r="B46" s="91" t="s">
        <v>955</v>
      </c>
      <c r="C46" s="87" t="s">
        <v>905</v>
      </c>
      <c r="D46" s="8" t="s">
        <v>1104</v>
      </c>
      <c r="E46" s="88"/>
      <c r="F46" s="87" t="s">
        <v>887</v>
      </c>
      <c r="G46" s="89"/>
      <c r="H46" s="92"/>
      <c r="I46" s="93"/>
      <c r="J46" s="21">
        <f t="shared" si="2"/>
        <v>0</v>
      </c>
      <c r="K46" s="145"/>
    </row>
    <row r="47" spans="1:11">
      <c r="A47" s="133">
        <v>17</v>
      </c>
      <c r="B47" s="91" t="s">
        <v>955</v>
      </c>
      <c r="C47" s="87" t="s">
        <v>908</v>
      </c>
      <c r="D47" s="8" t="s">
        <v>1104</v>
      </c>
      <c r="E47" s="88"/>
      <c r="F47" s="87" t="s">
        <v>887</v>
      </c>
      <c r="G47" s="89"/>
      <c r="H47" s="92"/>
      <c r="I47" s="93"/>
      <c r="J47" s="21">
        <f t="shared" si="2"/>
        <v>0</v>
      </c>
      <c r="K47" s="145"/>
    </row>
    <row r="48" spans="1:11">
      <c r="A48" s="133">
        <v>18</v>
      </c>
      <c r="B48" s="91" t="s">
        <v>955</v>
      </c>
      <c r="C48" s="87" t="s">
        <v>911</v>
      </c>
      <c r="D48" s="8" t="s">
        <v>1104</v>
      </c>
      <c r="E48" s="88"/>
      <c r="F48" s="87" t="s">
        <v>887</v>
      </c>
      <c r="G48" s="89"/>
      <c r="H48" s="92"/>
      <c r="I48" s="93"/>
      <c r="J48" s="21">
        <f t="shared" si="2"/>
        <v>0</v>
      </c>
      <c r="K48" s="145"/>
    </row>
    <row r="49" spans="1:11">
      <c r="A49" s="133">
        <v>19</v>
      </c>
      <c r="B49" s="91" t="s">
        <v>955</v>
      </c>
      <c r="C49" s="87" t="s">
        <v>914</v>
      </c>
      <c r="D49" s="8" t="s">
        <v>1104</v>
      </c>
      <c r="E49" s="88"/>
      <c r="F49" s="87" t="s">
        <v>887</v>
      </c>
      <c r="G49" s="89"/>
      <c r="H49" s="92"/>
      <c r="I49" s="93"/>
      <c r="J49" s="21">
        <f t="shared" si="2"/>
        <v>0</v>
      </c>
      <c r="K49" s="145"/>
    </row>
    <row r="50" spans="1:11">
      <c r="A50" s="133">
        <v>20</v>
      </c>
      <c r="B50" s="91" t="s">
        <v>955</v>
      </c>
      <c r="C50" s="87" t="s">
        <v>418</v>
      </c>
      <c r="D50" s="8" t="s">
        <v>1104</v>
      </c>
      <c r="E50" s="88"/>
      <c r="F50" s="87" t="s">
        <v>887</v>
      </c>
      <c r="G50" s="89"/>
      <c r="H50" s="92"/>
      <c r="I50" s="93"/>
      <c r="J50" s="21">
        <f t="shared" si="2"/>
        <v>0</v>
      </c>
      <c r="K50" s="145"/>
    </row>
    <row r="51" spans="1:11">
      <c r="A51" s="133">
        <v>21</v>
      </c>
      <c r="B51" s="91" t="s">
        <v>955</v>
      </c>
      <c r="C51" s="87" t="s">
        <v>916</v>
      </c>
      <c r="D51" s="8" t="s">
        <v>1104</v>
      </c>
      <c r="E51" s="88"/>
      <c r="F51" s="87" t="s">
        <v>887</v>
      </c>
      <c r="G51" s="89"/>
      <c r="H51" s="92"/>
      <c r="I51" s="93"/>
      <c r="J51" s="21">
        <f t="shared" si="2"/>
        <v>0</v>
      </c>
      <c r="K51" s="145"/>
    </row>
    <row r="52" spans="1:11">
      <c r="A52" s="133">
        <v>22</v>
      </c>
      <c r="B52" s="91" t="s">
        <v>955</v>
      </c>
      <c r="C52" s="87" t="s">
        <v>1111</v>
      </c>
      <c r="D52" s="8" t="s">
        <v>1104</v>
      </c>
      <c r="E52" s="88"/>
      <c r="F52" s="87" t="s">
        <v>887</v>
      </c>
      <c r="G52" s="89"/>
      <c r="H52" s="92"/>
      <c r="I52" s="93"/>
      <c r="J52" s="21">
        <f t="shared" si="2"/>
        <v>0</v>
      </c>
      <c r="K52" s="145"/>
    </row>
    <row r="53" spans="1:11">
      <c r="A53" s="133">
        <v>23</v>
      </c>
      <c r="B53" s="91" t="s">
        <v>955</v>
      </c>
      <c r="C53" s="87" t="s">
        <v>917</v>
      </c>
      <c r="D53" s="8" t="s">
        <v>1104</v>
      </c>
      <c r="E53" s="88"/>
      <c r="F53" s="87" t="s">
        <v>887</v>
      </c>
      <c r="G53" s="89"/>
      <c r="H53" s="92"/>
      <c r="I53" s="93"/>
      <c r="J53" s="21">
        <f t="shared" si="2"/>
        <v>0</v>
      </c>
      <c r="K53" s="145"/>
    </row>
    <row r="54" spans="1:11">
      <c r="A54" s="133">
        <v>24</v>
      </c>
      <c r="B54" s="91" t="s">
        <v>955</v>
      </c>
      <c r="C54" s="87" t="s">
        <v>909</v>
      </c>
      <c r="D54" s="8" t="s">
        <v>1104</v>
      </c>
      <c r="E54" s="88"/>
      <c r="F54" s="87" t="s">
        <v>887</v>
      </c>
      <c r="G54" s="89"/>
      <c r="H54" s="92"/>
      <c r="I54" s="93"/>
      <c r="J54" s="21">
        <f t="shared" si="2"/>
        <v>0</v>
      </c>
      <c r="K54" s="145"/>
    </row>
    <row r="55" spans="1:11">
      <c r="A55" s="133">
        <v>25</v>
      </c>
      <c r="B55" s="91" t="s">
        <v>955</v>
      </c>
      <c r="C55" s="87" t="s">
        <v>1112</v>
      </c>
      <c r="D55" s="8" t="s">
        <v>1104</v>
      </c>
      <c r="E55" s="88"/>
      <c r="F55" s="87" t="s">
        <v>887</v>
      </c>
      <c r="G55" s="89"/>
      <c r="H55" s="92"/>
      <c r="I55" s="93"/>
      <c r="J55" s="21">
        <f t="shared" si="2"/>
        <v>0</v>
      </c>
      <c r="K55" s="145"/>
    </row>
    <row r="56" spans="1:11">
      <c r="A56" s="133">
        <v>26</v>
      </c>
      <c r="B56" s="91" t="s">
        <v>955</v>
      </c>
      <c r="C56" s="87" t="s">
        <v>922</v>
      </c>
      <c r="D56" s="8" t="s">
        <v>1104</v>
      </c>
      <c r="E56" s="88"/>
      <c r="F56" s="87" t="s">
        <v>887</v>
      </c>
      <c r="G56" s="89"/>
      <c r="H56" s="92"/>
      <c r="I56" s="93"/>
      <c r="J56" s="21">
        <f t="shared" si="2"/>
        <v>0</v>
      </c>
      <c r="K56" s="145"/>
    </row>
    <row r="57" spans="1:11">
      <c r="A57" s="133">
        <v>27</v>
      </c>
      <c r="B57" s="91" t="s">
        <v>955</v>
      </c>
      <c r="C57" s="87" t="s">
        <v>923</v>
      </c>
      <c r="D57" s="8" t="s">
        <v>1104</v>
      </c>
      <c r="E57" s="88"/>
      <c r="F57" s="87" t="s">
        <v>887</v>
      </c>
      <c r="G57" s="89"/>
      <c r="H57" s="92"/>
      <c r="I57" s="93"/>
      <c r="J57" s="21">
        <f t="shared" si="2"/>
        <v>0</v>
      </c>
      <c r="K57" s="145"/>
    </row>
    <row r="58" spans="1:11">
      <c r="A58" s="133">
        <v>28</v>
      </c>
      <c r="B58" s="91" t="s">
        <v>955</v>
      </c>
      <c r="C58" s="87" t="s">
        <v>915</v>
      </c>
      <c r="D58" s="8" t="s">
        <v>1104</v>
      </c>
      <c r="E58" s="88"/>
      <c r="F58" s="87" t="s">
        <v>887</v>
      </c>
      <c r="G58" s="89"/>
      <c r="H58" s="92"/>
      <c r="I58" s="93"/>
      <c r="J58" s="21">
        <f t="shared" si="2"/>
        <v>0</v>
      </c>
      <c r="K58" s="145"/>
    </row>
    <row r="59" spans="1:11">
      <c r="A59" s="133">
        <v>29</v>
      </c>
      <c r="B59" s="91" t="s">
        <v>955</v>
      </c>
      <c r="C59" s="87" t="s">
        <v>1029</v>
      </c>
      <c r="D59" s="8" t="s">
        <v>1104</v>
      </c>
      <c r="E59" s="88"/>
      <c r="F59" s="87" t="s">
        <v>887</v>
      </c>
      <c r="G59" s="89"/>
      <c r="H59" s="92"/>
      <c r="I59" s="93"/>
      <c r="J59" s="21">
        <f t="shared" si="2"/>
        <v>0</v>
      </c>
      <c r="K59" s="145"/>
    </row>
    <row r="60" spans="1:11">
      <c r="A60" s="133">
        <v>30</v>
      </c>
      <c r="B60" s="91" t="s">
        <v>955</v>
      </c>
      <c r="C60" s="87" t="s">
        <v>1030</v>
      </c>
      <c r="D60" s="8" t="s">
        <v>1104</v>
      </c>
      <c r="E60" s="88"/>
      <c r="F60" s="87" t="s">
        <v>887</v>
      </c>
      <c r="G60" s="89"/>
      <c r="H60" s="92"/>
      <c r="I60" s="93"/>
      <c r="J60" s="21">
        <f t="shared" si="2"/>
        <v>0</v>
      </c>
      <c r="K60" s="145"/>
    </row>
    <row r="61" spans="1:11">
      <c r="A61" s="133">
        <v>31</v>
      </c>
      <c r="B61" s="91" t="s">
        <v>955</v>
      </c>
      <c r="C61" s="86" t="s">
        <v>918</v>
      </c>
      <c r="D61" s="8" t="s">
        <v>1104</v>
      </c>
      <c r="E61" s="88"/>
      <c r="F61" s="87" t="s">
        <v>887</v>
      </c>
      <c r="G61" s="89"/>
      <c r="H61" s="92"/>
      <c r="I61" s="93"/>
      <c r="J61" s="21">
        <f t="shared" si="2"/>
        <v>0</v>
      </c>
      <c r="K61" s="145"/>
    </row>
    <row r="62" spans="1:11">
      <c r="A62" s="133">
        <v>32</v>
      </c>
      <c r="B62" s="91" t="s">
        <v>955</v>
      </c>
      <c r="C62" s="86" t="s">
        <v>918</v>
      </c>
      <c r="D62" s="8" t="s">
        <v>1104</v>
      </c>
      <c r="E62" s="88"/>
      <c r="F62" s="87" t="s">
        <v>887</v>
      </c>
      <c r="G62" s="89"/>
      <c r="H62" s="92"/>
      <c r="I62" s="93"/>
      <c r="J62" s="21">
        <f t="shared" si="2"/>
        <v>0</v>
      </c>
      <c r="K62" s="145"/>
    </row>
    <row r="63" spans="1:11">
      <c r="A63" s="133">
        <v>33</v>
      </c>
      <c r="B63" s="91" t="s">
        <v>955</v>
      </c>
      <c r="C63" s="86" t="s">
        <v>918</v>
      </c>
      <c r="D63" s="8" t="s">
        <v>1104</v>
      </c>
      <c r="E63" s="88"/>
      <c r="F63" s="87" t="s">
        <v>887</v>
      </c>
      <c r="G63" s="89"/>
      <c r="H63" s="92"/>
      <c r="I63" s="93"/>
      <c r="J63" s="21">
        <f t="shared" si="2"/>
        <v>0</v>
      </c>
      <c r="K63" s="145"/>
    </row>
    <row r="64" spans="1:11">
      <c r="A64" s="133">
        <v>34</v>
      </c>
      <c r="B64" s="91" t="s">
        <v>955</v>
      </c>
      <c r="C64" s="86" t="s">
        <v>918</v>
      </c>
      <c r="D64" s="8" t="s">
        <v>1104</v>
      </c>
      <c r="E64" s="88"/>
      <c r="F64" s="87" t="s">
        <v>887</v>
      </c>
      <c r="G64" s="89"/>
      <c r="H64" s="92"/>
      <c r="I64" s="93"/>
      <c r="J64" s="21">
        <f t="shared" si="2"/>
        <v>0</v>
      </c>
      <c r="K64" s="145"/>
    </row>
    <row r="65" spans="1:11">
      <c r="A65" s="133">
        <v>35</v>
      </c>
      <c r="B65" s="91" t="s">
        <v>955</v>
      </c>
      <c r="C65" s="86" t="s">
        <v>918</v>
      </c>
      <c r="D65" s="8" t="s">
        <v>1104</v>
      </c>
      <c r="E65" s="88"/>
      <c r="F65" s="87" t="s">
        <v>887</v>
      </c>
      <c r="G65" s="89"/>
      <c r="H65" s="92"/>
      <c r="I65" s="93"/>
      <c r="J65" s="21">
        <f t="shared" si="2"/>
        <v>0</v>
      </c>
      <c r="K65" s="145"/>
    </row>
    <row r="66" spans="1:11">
      <c r="A66" s="133">
        <v>36</v>
      </c>
      <c r="B66" s="91" t="s">
        <v>955</v>
      </c>
      <c r="C66" s="86" t="s">
        <v>918</v>
      </c>
      <c r="D66" s="8" t="s">
        <v>1104</v>
      </c>
      <c r="E66" s="88"/>
      <c r="F66" s="87" t="s">
        <v>887</v>
      </c>
      <c r="G66" s="89"/>
      <c r="H66" s="92"/>
      <c r="I66" s="93"/>
      <c r="J66" s="21">
        <f t="shared" si="2"/>
        <v>0</v>
      </c>
      <c r="K66" s="145"/>
    </row>
    <row r="67" spans="1:11">
      <c r="A67" s="133">
        <v>37</v>
      </c>
      <c r="B67" s="91" t="s">
        <v>955</v>
      </c>
      <c r="C67" s="86" t="s">
        <v>918</v>
      </c>
      <c r="D67" s="8" t="s">
        <v>1104</v>
      </c>
      <c r="E67" s="88"/>
      <c r="F67" s="87" t="s">
        <v>887</v>
      </c>
      <c r="G67" s="89"/>
      <c r="H67" s="92"/>
      <c r="I67" s="93"/>
      <c r="J67" s="21">
        <f t="shared" si="2"/>
        <v>0</v>
      </c>
      <c r="K67" s="145"/>
    </row>
    <row r="68" spans="1:11">
      <c r="A68" s="133">
        <v>38</v>
      </c>
      <c r="B68" s="91" t="s">
        <v>955</v>
      </c>
      <c r="C68" s="86" t="s">
        <v>918</v>
      </c>
      <c r="D68" s="8" t="s">
        <v>1104</v>
      </c>
      <c r="E68" s="88"/>
      <c r="F68" s="87" t="s">
        <v>887</v>
      </c>
      <c r="G68" s="89"/>
      <c r="H68" s="92"/>
      <c r="I68" s="93"/>
      <c r="J68" s="21">
        <f t="shared" si="2"/>
        <v>0</v>
      </c>
      <c r="K68" s="145"/>
    </row>
    <row r="70" spans="1:11" ht="20.25">
      <c r="A70" s="95" t="s">
        <v>617</v>
      </c>
      <c r="B70" s="6"/>
      <c r="E70" t="s">
        <v>924</v>
      </c>
    </row>
    <row r="71" spans="1:11" ht="45">
      <c r="A71" s="29" t="s">
        <v>30</v>
      </c>
      <c r="B71" s="29" t="s">
        <v>26</v>
      </c>
      <c r="C71" s="29" t="s">
        <v>1015</v>
      </c>
      <c r="D71" s="30" t="s">
        <v>950</v>
      </c>
      <c r="E71" s="30" t="s">
        <v>1016</v>
      </c>
      <c r="F71" s="30" t="s">
        <v>1017</v>
      </c>
      <c r="G71" s="30" t="s">
        <v>1018</v>
      </c>
      <c r="H71" s="30" t="s">
        <v>1019</v>
      </c>
      <c r="I71" s="30" t="s">
        <v>1020</v>
      </c>
      <c r="J71" s="241" t="s">
        <v>1033</v>
      </c>
      <c r="K71" s="242"/>
    </row>
    <row r="72" spans="1:11">
      <c r="A72" s="134">
        <v>1</v>
      </c>
      <c r="B72" s="56" t="s">
        <v>957</v>
      </c>
      <c r="C72" s="8" t="s">
        <v>1118</v>
      </c>
      <c r="D72" s="21">
        <v>12.4</v>
      </c>
      <c r="E72" s="139" t="s">
        <v>1114</v>
      </c>
      <c r="F72" s="28" t="s">
        <v>1053</v>
      </c>
      <c r="G72" s="89">
        <v>0.995</v>
      </c>
      <c r="H72" s="139" t="s">
        <v>1116</v>
      </c>
      <c r="I72" s="28" t="s">
        <v>1115</v>
      </c>
      <c r="J72" s="240" t="s">
        <v>1119</v>
      </c>
      <c r="K72" s="240"/>
    </row>
    <row r="73" spans="1:11">
      <c r="A73" s="134">
        <v>2</v>
      </c>
      <c r="B73" s="56" t="s">
        <v>957</v>
      </c>
      <c r="C73" s="8" t="s">
        <v>1113</v>
      </c>
      <c r="D73" s="21">
        <v>0.3</v>
      </c>
      <c r="E73" s="139" t="s">
        <v>1125</v>
      </c>
      <c r="F73" s="28" t="s">
        <v>1126</v>
      </c>
      <c r="G73" s="89">
        <v>0.995</v>
      </c>
      <c r="H73" s="139" t="s">
        <v>1125</v>
      </c>
      <c r="I73" s="28" t="s">
        <v>1127</v>
      </c>
      <c r="J73" s="240" t="s">
        <v>1125</v>
      </c>
      <c r="K73" s="240"/>
    </row>
    <row r="74" spans="1:11">
      <c r="A74" s="134">
        <v>3</v>
      </c>
      <c r="B74" s="56" t="s">
        <v>957</v>
      </c>
      <c r="C74" s="8" t="s">
        <v>1068</v>
      </c>
      <c r="D74" s="21">
        <v>10.5</v>
      </c>
      <c r="E74" s="139" t="s">
        <v>1114</v>
      </c>
      <c r="F74" s="28" t="s">
        <v>1053</v>
      </c>
      <c r="G74" s="89">
        <v>1</v>
      </c>
      <c r="H74" s="139" t="s">
        <v>1116</v>
      </c>
      <c r="I74" s="28" t="s">
        <v>1115</v>
      </c>
      <c r="J74" s="240" t="s">
        <v>1119</v>
      </c>
      <c r="K74" s="240"/>
    </row>
    <row r="75" spans="1:11">
      <c r="A75" s="134">
        <v>4</v>
      </c>
      <c r="B75" s="56" t="s">
        <v>957</v>
      </c>
      <c r="C75" s="8" t="s">
        <v>1070</v>
      </c>
      <c r="D75" s="21">
        <v>26</v>
      </c>
      <c r="E75" s="139" t="s">
        <v>1114</v>
      </c>
      <c r="F75" s="28" t="s">
        <v>1053</v>
      </c>
      <c r="G75" s="89">
        <v>0.998</v>
      </c>
      <c r="H75" s="139" t="s">
        <v>1116</v>
      </c>
      <c r="I75" s="28" t="s">
        <v>1115</v>
      </c>
      <c r="J75" s="240" t="s">
        <v>1128</v>
      </c>
      <c r="K75" s="240"/>
    </row>
    <row r="76" spans="1:11">
      <c r="A76" s="134">
        <v>5</v>
      </c>
      <c r="B76" s="56" t="s">
        <v>957</v>
      </c>
      <c r="C76" s="8" t="s">
        <v>1072</v>
      </c>
      <c r="D76" s="21">
        <v>2</v>
      </c>
      <c r="E76" s="139" t="s">
        <v>1114</v>
      </c>
      <c r="F76" s="28" t="s">
        <v>1053</v>
      </c>
      <c r="G76" s="89">
        <v>1</v>
      </c>
      <c r="H76" s="139" t="s">
        <v>1116</v>
      </c>
      <c r="I76" s="28" t="s">
        <v>1115</v>
      </c>
      <c r="J76" s="240" t="s">
        <v>1129</v>
      </c>
      <c r="K76" s="240"/>
    </row>
    <row r="77" spans="1:11">
      <c r="A77" s="134">
        <v>6</v>
      </c>
      <c r="B77" s="56" t="s">
        <v>957</v>
      </c>
      <c r="C77" s="8" t="s">
        <v>1074</v>
      </c>
      <c r="D77" s="21">
        <v>9.9</v>
      </c>
      <c r="E77" s="139" t="s">
        <v>1114</v>
      </c>
      <c r="F77" s="28" t="s">
        <v>1053</v>
      </c>
      <c r="G77" s="89">
        <v>0.995</v>
      </c>
      <c r="H77" s="139" t="s">
        <v>1116</v>
      </c>
      <c r="I77" s="28" t="s">
        <v>1115</v>
      </c>
      <c r="J77" s="240" t="s">
        <v>1119</v>
      </c>
      <c r="K77" s="240"/>
    </row>
    <row r="78" spans="1:11">
      <c r="A78" s="134">
        <v>7</v>
      </c>
      <c r="B78" s="56" t="s">
        <v>957</v>
      </c>
      <c r="C78" s="8" t="s">
        <v>1076</v>
      </c>
      <c r="D78" s="21">
        <v>8.4</v>
      </c>
      <c r="E78" s="139" t="s">
        <v>1114</v>
      </c>
      <c r="F78" s="28" t="s">
        <v>1053</v>
      </c>
      <c r="G78" s="89">
        <v>1</v>
      </c>
      <c r="H78" s="139" t="s">
        <v>1116</v>
      </c>
      <c r="I78" s="28" t="s">
        <v>1115</v>
      </c>
      <c r="J78" s="240" t="s">
        <v>1119</v>
      </c>
      <c r="K78" s="240"/>
    </row>
    <row r="79" spans="1:11">
      <c r="A79" s="134">
        <v>8</v>
      </c>
      <c r="B79" s="56" t="s">
        <v>957</v>
      </c>
      <c r="C79" s="8" t="s">
        <v>1078</v>
      </c>
      <c r="D79" s="21">
        <v>4</v>
      </c>
      <c r="E79" s="139" t="s">
        <v>1114</v>
      </c>
      <c r="F79" s="28" t="s">
        <v>1053</v>
      </c>
      <c r="G79" s="89">
        <v>1</v>
      </c>
      <c r="H79" s="139" t="s">
        <v>1116</v>
      </c>
      <c r="I79" s="28" t="s">
        <v>1115</v>
      </c>
      <c r="J79" s="240" t="s">
        <v>1119</v>
      </c>
      <c r="K79" s="240"/>
    </row>
    <row r="80" spans="1:11">
      <c r="A80" s="134">
        <v>9</v>
      </c>
      <c r="B80" s="56" t="s">
        <v>957</v>
      </c>
      <c r="C80" s="8" t="s">
        <v>1080</v>
      </c>
      <c r="D80" s="21">
        <v>27</v>
      </c>
      <c r="E80" s="139" t="s">
        <v>1114</v>
      </c>
      <c r="F80" s="28" t="s">
        <v>1053</v>
      </c>
      <c r="G80" s="89">
        <v>0.999</v>
      </c>
      <c r="H80" s="139" t="s">
        <v>1116</v>
      </c>
      <c r="I80" s="28" t="s">
        <v>1115</v>
      </c>
      <c r="J80" s="240" t="s">
        <v>1128</v>
      </c>
      <c r="K80" s="240"/>
    </row>
    <row r="81" spans="1:11">
      <c r="A81" s="134">
        <v>10</v>
      </c>
      <c r="B81" s="56" t="s">
        <v>957</v>
      </c>
      <c r="C81" s="8" t="s">
        <v>1083</v>
      </c>
      <c r="D81" s="21">
        <v>0.2</v>
      </c>
      <c r="E81" s="139" t="s">
        <v>1125</v>
      </c>
      <c r="F81" s="28" t="s">
        <v>1126</v>
      </c>
      <c r="G81" s="89">
        <v>0.999</v>
      </c>
      <c r="H81" s="139" t="s">
        <v>1125</v>
      </c>
      <c r="I81" s="28" t="s">
        <v>1127</v>
      </c>
      <c r="J81" s="240" t="s">
        <v>1125</v>
      </c>
      <c r="K81" s="240"/>
    </row>
    <row r="82" spans="1:11">
      <c r="A82" s="134">
        <v>11</v>
      </c>
      <c r="B82" s="56" t="s">
        <v>957</v>
      </c>
      <c r="C82" s="8" t="s">
        <v>1120</v>
      </c>
      <c r="D82" s="21">
        <v>0.2</v>
      </c>
      <c r="E82" s="139" t="s">
        <v>1125</v>
      </c>
      <c r="F82" s="28" t="s">
        <v>1126</v>
      </c>
      <c r="G82" s="89">
        <v>0.999</v>
      </c>
      <c r="H82" s="139" t="s">
        <v>1125</v>
      </c>
      <c r="I82" s="28" t="s">
        <v>1127</v>
      </c>
      <c r="J82" s="240" t="s">
        <v>1125</v>
      </c>
      <c r="K82" s="240"/>
    </row>
    <row r="83" spans="1:11">
      <c r="A83" s="134">
        <v>12</v>
      </c>
      <c r="B83" s="56" t="s">
        <v>957</v>
      </c>
      <c r="C83" s="8" t="s">
        <v>1087</v>
      </c>
      <c r="D83" s="21">
        <v>8.3000000000000007</v>
      </c>
      <c r="E83" s="139" t="s">
        <v>1114</v>
      </c>
      <c r="F83" s="28" t="s">
        <v>1053</v>
      </c>
      <c r="G83" s="89">
        <v>0.998</v>
      </c>
      <c r="H83" s="139" t="s">
        <v>1116</v>
      </c>
      <c r="I83" s="28" t="s">
        <v>1115</v>
      </c>
      <c r="J83" s="240" t="s">
        <v>1119</v>
      </c>
      <c r="K83" s="240"/>
    </row>
    <row r="84" spans="1:11">
      <c r="A84" s="134">
        <v>13</v>
      </c>
      <c r="B84" s="56" t="s">
        <v>957</v>
      </c>
      <c r="C84" s="8" t="s">
        <v>1121</v>
      </c>
      <c r="D84" s="21">
        <v>8.1</v>
      </c>
      <c r="E84" s="139" t="s">
        <v>1114</v>
      </c>
      <c r="F84" s="28" t="s">
        <v>1053</v>
      </c>
      <c r="G84" s="89">
        <v>0.998</v>
      </c>
      <c r="H84" s="139" t="s">
        <v>1116</v>
      </c>
      <c r="I84" s="28" t="s">
        <v>1115</v>
      </c>
      <c r="J84" s="240" t="s">
        <v>1119</v>
      </c>
      <c r="K84" s="240"/>
    </row>
    <row r="85" spans="1:11">
      <c r="A85" s="134">
        <v>14</v>
      </c>
      <c r="B85" s="56" t="s">
        <v>957</v>
      </c>
      <c r="C85" s="8" t="s">
        <v>1091</v>
      </c>
      <c r="D85" s="21">
        <v>3.1</v>
      </c>
      <c r="E85" s="139" t="s">
        <v>1114</v>
      </c>
      <c r="F85" s="28" t="s">
        <v>1053</v>
      </c>
      <c r="G85" s="89">
        <v>1</v>
      </c>
      <c r="H85" s="139" t="s">
        <v>1116</v>
      </c>
      <c r="I85" s="28" t="s">
        <v>1115</v>
      </c>
      <c r="J85" s="240" t="s">
        <v>1119</v>
      </c>
      <c r="K85" s="240"/>
    </row>
    <row r="86" spans="1:11">
      <c r="A86" s="134">
        <v>15</v>
      </c>
      <c r="B86" s="56" t="s">
        <v>957</v>
      </c>
      <c r="C86" s="8" t="s">
        <v>1093</v>
      </c>
      <c r="D86" s="21">
        <v>2.7</v>
      </c>
      <c r="E86" s="139" t="s">
        <v>1114</v>
      </c>
      <c r="F86" s="28" t="s">
        <v>1053</v>
      </c>
      <c r="G86" s="89">
        <v>1</v>
      </c>
      <c r="H86" s="139" t="s">
        <v>1116</v>
      </c>
      <c r="I86" s="28" t="s">
        <v>1115</v>
      </c>
      <c r="J86" s="240" t="s">
        <v>1119</v>
      </c>
      <c r="K86" s="240"/>
    </row>
    <row r="87" spans="1:11">
      <c r="A87" s="134">
        <v>16</v>
      </c>
      <c r="B87" s="56" t="s">
        <v>957</v>
      </c>
      <c r="C87" s="8" t="s">
        <v>1122</v>
      </c>
      <c r="D87" s="21">
        <v>30</v>
      </c>
      <c r="E87" s="139" t="s">
        <v>1114</v>
      </c>
      <c r="F87" s="28" t="s">
        <v>1053</v>
      </c>
      <c r="G87" s="89">
        <v>0.999</v>
      </c>
      <c r="H87" s="139" t="s">
        <v>1116</v>
      </c>
      <c r="I87" s="28" t="s">
        <v>1115</v>
      </c>
      <c r="J87" s="240" t="s">
        <v>1128</v>
      </c>
      <c r="K87" s="240"/>
    </row>
    <row r="88" spans="1:11">
      <c r="A88" s="134">
        <v>17</v>
      </c>
      <c r="B88" s="56" t="s">
        <v>957</v>
      </c>
      <c r="C88" s="8" t="s">
        <v>1097</v>
      </c>
      <c r="D88" s="21">
        <v>0.2</v>
      </c>
      <c r="E88" s="139" t="s">
        <v>1125</v>
      </c>
      <c r="F88" s="28" t="s">
        <v>1126</v>
      </c>
      <c r="G88" s="89">
        <v>0.999</v>
      </c>
      <c r="H88" s="139" t="s">
        <v>1125</v>
      </c>
      <c r="I88" s="28" t="s">
        <v>1127</v>
      </c>
      <c r="J88" s="240" t="s">
        <v>1125</v>
      </c>
      <c r="K88" s="240"/>
    </row>
    <row r="89" spans="1:11">
      <c r="A89" s="134">
        <v>18</v>
      </c>
      <c r="B89" s="56" t="s">
        <v>957</v>
      </c>
      <c r="C89" s="8" t="s">
        <v>1099</v>
      </c>
      <c r="D89" s="21">
        <v>8</v>
      </c>
      <c r="E89" s="139" t="s">
        <v>1114</v>
      </c>
      <c r="F89" s="28" t="s">
        <v>1053</v>
      </c>
      <c r="G89" s="89">
        <v>0.998</v>
      </c>
      <c r="H89" s="139" t="s">
        <v>1116</v>
      </c>
      <c r="I89" s="28" t="s">
        <v>1115</v>
      </c>
      <c r="J89" s="240" t="s">
        <v>1119</v>
      </c>
      <c r="K89" s="240"/>
    </row>
    <row r="90" spans="1:11">
      <c r="A90" s="134">
        <v>19</v>
      </c>
      <c r="B90" s="56" t="s">
        <v>957</v>
      </c>
      <c r="C90" s="8"/>
      <c r="D90" s="21"/>
      <c r="E90" s="139"/>
      <c r="F90" s="28"/>
      <c r="G90" s="89"/>
      <c r="H90" s="139"/>
      <c r="I90" s="28"/>
      <c r="J90" s="240"/>
      <c r="K90" s="240"/>
    </row>
    <row r="91" spans="1:11">
      <c r="A91" s="134">
        <v>20</v>
      </c>
      <c r="B91" s="56" t="s">
        <v>957</v>
      </c>
      <c r="C91" s="8"/>
      <c r="D91" s="21"/>
      <c r="E91" s="139"/>
      <c r="F91" s="28"/>
      <c r="G91" s="89"/>
      <c r="H91" s="139"/>
      <c r="I91" s="28"/>
      <c r="J91" s="240"/>
      <c r="K91" s="240"/>
    </row>
    <row r="92" spans="1:11">
      <c r="A92" s="134">
        <v>21</v>
      </c>
      <c r="B92" s="56" t="s">
        <v>957</v>
      </c>
      <c r="C92" s="8"/>
      <c r="D92" s="21" t="str">
        <f>IFERROR(VLOOKUP(B92,Product!$B:$H,6,FALSE),"")</f>
        <v/>
      </c>
      <c r="E92" s="139"/>
      <c r="F92" s="28"/>
      <c r="G92" s="89"/>
      <c r="H92" s="139"/>
      <c r="I92" s="28"/>
      <c r="J92" s="240"/>
      <c r="K92" s="240"/>
    </row>
    <row r="93" spans="1:11">
      <c r="A93" s="134">
        <v>22</v>
      </c>
      <c r="B93" s="56" t="s">
        <v>957</v>
      </c>
      <c r="C93" s="8"/>
      <c r="D93" s="21" t="str">
        <f>IFERROR(VLOOKUP(B93,Product!$B:$H,6,FALSE),"")</f>
        <v/>
      </c>
      <c r="E93" s="139"/>
      <c r="F93" s="28"/>
      <c r="G93" s="89"/>
      <c r="H93" s="139"/>
      <c r="I93" s="28"/>
      <c r="J93" s="240"/>
      <c r="K93" s="240"/>
    </row>
    <row r="94" spans="1:11">
      <c r="A94" s="134">
        <v>23</v>
      </c>
      <c r="B94" s="56" t="s">
        <v>957</v>
      </c>
      <c r="C94" s="8"/>
      <c r="D94" s="21" t="str">
        <f>IFERROR(VLOOKUP(B94,Product!$B:$H,6,FALSE),"")</f>
        <v/>
      </c>
      <c r="E94" s="139"/>
      <c r="F94" s="28"/>
      <c r="G94" s="89"/>
      <c r="H94" s="139"/>
      <c r="I94" s="28"/>
      <c r="J94" s="240"/>
      <c r="K94" s="240"/>
    </row>
    <row r="95" spans="1:11">
      <c r="A95" s="134">
        <v>24</v>
      </c>
      <c r="B95" s="56" t="s">
        <v>957</v>
      </c>
      <c r="C95" s="8"/>
      <c r="D95" s="21" t="str">
        <f>IFERROR(VLOOKUP(B95,Product!$B:$H,6,FALSE),"")</f>
        <v/>
      </c>
      <c r="E95" s="139"/>
      <c r="F95" s="28"/>
      <c r="G95" s="89"/>
      <c r="H95" s="139"/>
      <c r="I95" s="28"/>
      <c r="J95" s="240"/>
      <c r="K95" s="240"/>
    </row>
    <row r="96" spans="1:11">
      <c r="A96" s="134">
        <v>25</v>
      </c>
      <c r="B96" s="56" t="s">
        <v>957</v>
      </c>
      <c r="C96" s="8"/>
      <c r="D96" s="21" t="str">
        <f>IFERROR(VLOOKUP(B96,Product!$B:$H,6,FALSE),"")</f>
        <v/>
      </c>
      <c r="E96" s="139"/>
      <c r="F96" s="28"/>
      <c r="G96" s="89"/>
      <c r="H96" s="139"/>
      <c r="I96" s="28"/>
      <c r="J96" s="240"/>
      <c r="K96" s="240"/>
    </row>
    <row r="97" spans="1:11">
      <c r="A97" s="134">
        <v>26</v>
      </c>
      <c r="B97" s="56" t="s">
        <v>957</v>
      </c>
      <c r="C97" s="8"/>
      <c r="D97" s="21" t="str">
        <f>IFERROR(VLOOKUP(B97,Product!$B:$H,6,FALSE),"")</f>
        <v/>
      </c>
      <c r="E97" s="139"/>
      <c r="F97" s="28"/>
      <c r="G97" s="89"/>
      <c r="H97" s="139"/>
      <c r="I97" s="28"/>
      <c r="J97" s="240"/>
      <c r="K97" s="240"/>
    </row>
    <row r="98" spans="1:11">
      <c r="A98" s="134">
        <v>27</v>
      </c>
      <c r="B98" s="56" t="s">
        <v>957</v>
      </c>
      <c r="C98" s="8"/>
      <c r="D98" s="21" t="str">
        <f>IFERROR(VLOOKUP(B98,Product!$B:$H,6,FALSE),"")</f>
        <v/>
      </c>
      <c r="E98" s="139"/>
      <c r="F98" s="28"/>
      <c r="G98" s="89"/>
      <c r="H98" s="139"/>
      <c r="I98" s="28"/>
      <c r="J98" s="240"/>
      <c r="K98" s="240"/>
    </row>
    <row r="99" spans="1:11">
      <c r="A99" s="134">
        <v>28</v>
      </c>
      <c r="B99" s="56" t="s">
        <v>957</v>
      </c>
      <c r="C99" s="8"/>
      <c r="D99" s="21" t="str">
        <f>IFERROR(VLOOKUP(B99,Product!$B:$H,6,FALSE),"")</f>
        <v/>
      </c>
      <c r="E99" s="139"/>
      <c r="F99" s="28"/>
      <c r="G99" s="89"/>
      <c r="H99" s="139"/>
      <c r="I99" s="28"/>
      <c r="J99" s="240"/>
      <c r="K99" s="240"/>
    </row>
    <row r="100" spans="1:11">
      <c r="A100" s="134">
        <v>29</v>
      </c>
      <c r="B100" s="56" t="s">
        <v>957</v>
      </c>
      <c r="C100" s="8"/>
      <c r="D100" s="21" t="str">
        <f>IFERROR(VLOOKUP(B100,Product!$B:$H,6,FALSE),"")</f>
        <v/>
      </c>
      <c r="E100" s="139"/>
      <c r="F100" s="28"/>
      <c r="G100" s="89"/>
      <c r="H100" s="139"/>
      <c r="I100" s="28"/>
      <c r="J100" s="240"/>
      <c r="K100" s="240"/>
    </row>
    <row r="101" spans="1:11">
      <c r="A101" s="134">
        <v>30</v>
      </c>
      <c r="B101" s="56" t="s">
        <v>957</v>
      </c>
      <c r="C101" s="8"/>
      <c r="D101" s="21" t="str">
        <f>IFERROR(VLOOKUP(B101,Product!$B:$H,6,FALSE),"")</f>
        <v/>
      </c>
      <c r="E101" s="139"/>
      <c r="F101" s="28"/>
      <c r="G101" s="89"/>
      <c r="H101" s="139"/>
      <c r="I101" s="28"/>
      <c r="J101" s="240"/>
      <c r="K101" s="240"/>
    </row>
    <row r="102" spans="1:11">
      <c r="A102" s="134">
        <v>31</v>
      </c>
      <c r="B102" s="56" t="s">
        <v>957</v>
      </c>
      <c r="C102" s="8"/>
      <c r="D102" s="21" t="str">
        <f>IFERROR(VLOOKUP(B102,Product!$B:$H,6,FALSE),"")</f>
        <v/>
      </c>
      <c r="E102" s="139"/>
      <c r="F102" s="28"/>
      <c r="G102" s="89"/>
      <c r="H102" s="139"/>
      <c r="I102" s="28"/>
      <c r="J102" s="240"/>
      <c r="K102" s="240"/>
    </row>
    <row r="103" spans="1:11">
      <c r="A103" s="134">
        <v>32</v>
      </c>
      <c r="B103" s="56" t="s">
        <v>957</v>
      </c>
      <c r="C103" s="8"/>
      <c r="D103" s="21" t="str">
        <f>IFERROR(VLOOKUP(B103,Product!$B:$H,6,FALSE),"")</f>
        <v/>
      </c>
      <c r="E103" s="139"/>
      <c r="F103" s="28"/>
      <c r="G103" s="89"/>
      <c r="H103" s="139"/>
      <c r="I103" s="28"/>
      <c r="J103" s="240"/>
      <c r="K103" s="240"/>
    </row>
    <row r="104" spans="1:11">
      <c r="A104" s="134">
        <v>33</v>
      </c>
      <c r="B104" s="56" t="s">
        <v>957</v>
      </c>
      <c r="C104" s="8"/>
      <c r="D104" s="21" t="str">
        <f>IFERROR(VLOOKUP(B104,Product!$B:$H,6,FALSE),"")</f>
        <v/>
      </c>
      <c r="E104" s="139"/>
      <c r="F104" s="28"/>
      <c r="G104" s="89"/>
      <c r="H104" s="139"/>
      <c r="I104" s="28"/>
      <c r="J104" s="240"/>
      <c r="K104" s="240"/>
    </row>
    <row r="105" spans="1:11">
      <c r="A105" s="134">
        <v>34</v>
      </c>
      <c r="B105" s="56" t="s">
        <v>957</v>
      </c>
      <c r="C105" s="8"/>
      <c r="D105" s="21" t="str">
        <f>IFERROR(VLOOKUP(B105,Product!$B:$H,6,FALSE),"")</f>
        <v/>
      </c>
      <c r="E105" s="139"/>
      <c r="F105" s="28"/>
      <c r="G105" s="89"/>
      <c r="H105" s="139"/>
      <c r="I105" s="28"/>
      <c r="J105" s="240"/>
      <c r="K105" s="240"/>
    </row>
    <row r="106" spans="1:11">
      <c r="A106" s="134">
        <v>35</v>
      </c>
      <c r="B106" s="56" t="s">
        <v>957</v>
      </c>
      <c r="C106" s="8"/>
      <c r="D106" s="21" t="str">
        <f>IFERROR(VLOOKUP(B106,Product!$B:$H,6,FALSE),"")</f>
        <v/>
      </c>
      <c r="E106" s="139"/>
      <c r="F106" s="28"/>
      <c r="G106" s="89"/>
      <c r="H106" s="139"/>
      <c r="I106" s="28"/>
      <c r="J106" s="240"/>
      <c r="K106" s="240"/>
    </row>
    <row r="107" spans="1:11">
      <c r="A107" s="134">
        <v>36</v>
      </c>
      <c r="B107" s="56" t="s">
        <v>957</v>
      </c>
      <c r="C107" s="8"/>
      <c r="D107" s="21" t="str">
        <f>IFERROR(VLOOKUP(B107,Product!$B:$H,6,FALSE),"")</f>
        <v/>
      </c>
      <c r="E107" s="139"/>
      <c r="F107" s="28"/>
      <c r="G107" s="89"/>
      <c r="H107" s="139"/>
      <c r="I107" s="28"/>
      <c r="J107" s="240"/>
      <c r="K107" s="240"/>
    </row>
    <row r="108" spans="1:11">
      <c r="A108" s="134">
        <v>37</v>
      </c>
      <c r="B108" s="56" t="s">
        <v>957</v>
      </c>
      <c r="C108" s="8"/>
      <c r="D108" s="21" t="str">
        <f>IFERROR(VLOOKUP(B108,Product!$B:$H,6,FALSE),"")</f>
        <v/>
      </c>
      <c r="E108" s="139"/>
      <c r="F108" s="28"/>
      <c r="G108" s="89"/>
      <c r="H108" s="139"/>
      <c r="I108" s="28"/>
      <c r="J108" s="240"/>
      <c r="K108" s="240"/>
    </row>
    <row r="109" spans="1:11">
      <c r="A109" s="134">
        <v>38</v>
      </c>
      <c r="B109" s="56" t="s">
        <v>957</v>
      </c>
      <c r="C109" s="8"/>
      <c r="D109" s="21" t="str">
        <f>IFERROR(VLOOKUP(B109,Product!$B:$H,6,FALSE),"")</f>
        <v/>
      </c>
      <c r="E109" s="139"/>
      <c r="F109" s="28"/>
      <c r="G109" s="89"/>
      <c r="H109" s="139"/>
      <c r="I109" s="28"/>
      <c r="J109" s="240"/>
      <c r="K109" s="240"/>
    </row>
    <row r="110" spans="1:11">
      <c r="A110" s="134">
        <v>39</v>
      </c>
      <c r="B110" s="56" t="s">
        <v>957</v>
      </c>
      <c r="C110" s="8"/>
      <c r="D110" s="21" t="str">
        <f>IFERROR(VLOOKUP(B110,Product!$B:$H,6,FALSE),"")</f>
        <v/>
      </c>
      <c r="E110" s="139"/>
      <c r="F110" s="28"/>
      <c r="G110" s="89"/>
      <c r="H110" s="139"/>
      <c r="I110" s="28"/>
      <c r="J110" s="240"/>
      <c r="K110" s="240"/>
    </row>
    <row r="111" spans="1:11">
      <c r="A111" s="134">
        <v>40</v>
      </c>
      <c r="B111" s="56" t="s">
        <v>957</v>
      </c>
      <c r="C111" s="8"/>
      <c r="D111" s="21" t="str">
        <f>IFERROR(VLOOKUP(B111,Product!$B:$H,6,FALSE),"")</f>
        <v/>
      </c>
      <c r="E111" s="139"/>
      <c r="F111" s="28"/>
      <c r="G111" s="89"/>
      <c r="H111" s="139"/>
      <c r="I111" s="28"/>
      <c r="J111" s="240"/>
      <c r="K111" s="240"/>
    </row>
    <row r="112" spans="1:11">
      <c r="A112" s="134">
        <v>41</v>
      </c>
      <c r="B112" s="56" t="s">
        <v>957</v>
      </c>
      <c r="C112" s="8"/>
      <c r="D112" s="21" t="str">
        <f>IFERROR(VLOOKUP(B112,Product!$B:$H,6,FALSE),"")</f>
        <v/>
      </c>
      <c r="E112" s="139"/>
      <c r="F112" s="28"/>
      <c r="G112" s="89"/>
      <c r="H112" s="139"/>
      <c r="I112" s="28"/>
      <c r="J112" s="240"/>
      <c r="K112" s="240"/>
    </row>
    <row r="113" spans="1:11">
      <c r="A113" s="134">
        <v>42</v>
      </c>
      <c r="B113" s="56" t="s">
        <v>957</v>
      </c>
      <c r="C113" s="8"/>
      <c r="D113" s="21" t="str">
        <f>IFERROR(VLOOKUP(B113,Product!$B:$H,6,FALSE),"")</f>
        <v/>
      </c>
      <c r="E113" s="139"/>
      <c r="F113" s="28"/>
      <c r="G113" s="89"/>
      <c r="H113" s="139"/>
      <c r="I113" s="28"/>
      <c r="J113" s="240"/>
      <c r="K113" s="240"/>
    </row>
    <row r="114" spans="1:11">
      <c r="A114" s="134">
        <v>43</v>
      </c>
      <c r="B114" s="56" t="s">
        <v>957</v>
      </c>
      <c r="C114" s="8"/>
      <c r="D114" s="21" t="str">
        <f>IFERROR(VLOOKUP(B114,Product!$B:$H,6,FALSE),"")</f>
        <v/>
      </c>
      <c r="E114" s="139"/>
      <c r="F114" s="28"/>
      <c r="G114" s="89"/>
      <c r="H114" s="139"/>
      <c r="I114" s="28"/>
      <c r="J114" s="240"/>
      <c r="K114" s="240"/>
    </row>
    <row r="115" spans="1:11">
      <c r="A115" s="134">
        <v>44</v>
      </c>
      <c r="B115" s="56" t="s">
        <v>957</v>
      </c>
      <c r="C115" s="8"/>
      <c r="D115" s="21" t="str">
        <f>IFERROR(VLOOKUP(B115,Product!$B:$H,6,FALSE),"")</f>
        <v/>
      </c>
      <c r="E115" s="139"/>
      <c r="F115" s="28"/>
      <c r="G115" s="89"/>
      <c r="H115" s="139"/>
      <c r="I115" s="28"/>
      <c r="J115" s="240"/>
      <c r="K115" s="240"/>
    </row>
    <row r="116" spans="1:11">
      <c r="A116" s="134">
        <v>45</v>
      </c>
      <c r="B116" s="56" t="s">
        <v>957</v>
      </c>
      <c r="C116" s="8"/>
      <c r="D116" s="21" t="str">
        <f>IFERROR(VLOOKUP(B116,Product!$B:$H,6,FALSE),"")</f>
        <v/>
      </c>
      <c r="E116" s="139"/>
      <c r="F116" s="28"/>
      <c r="G116" s="89"/>
      <c r="H116" s="139"/>
      <c r="I116" s="28"/>
      <c r="J116" s="240"/>
      <c r="K116" s="240"/>
    </row>
    <row r="117" spans="1:11">
      <c r="A117" s="134">
        <v>46</v>
      </c>
      <c r="B117" s="56" t="s">
        <v>957</v>
      </c>
      <c r="C117" s="8"/>
      <c r="D117" s="21" t="str">
        <f>IFERROR(VLOOKUP(B117,Product!$B:$H,6,FALSE),"")</f>
        <v/>
      </c>
      <c r="E117" s="139"/>
      <c r="F117" s="28"/>
      <c r="G117" s="89"/>
      <c r="H117" s="139"/>
      <c r="I117" s="28"/>
      <c r="J117" s="240"/>
      <c r="K117" s="240"/>
    </row>
    <row r="118" spans="1:11">
      <c r="A118" s="134">
        <v>47</v>
      </c>
      <c r="B118" s="56" t="s">
        <v>957</v>
      </c>
      <c r="C118" s="8"/>
      <c r="D118" s="21" t="str">
        <f>IFERROR(VLOOKUP(B118,Product!$B:$H,6,FALSE),"")</f>
        <v/>
      </c>
      <c r="E118" s="139"/>
      <c r="F118" s="28"/>
      <c r="G118" s="89"/>
      <c r="H118" s="139"/>
      <c r="I118" s="28"/>
      <c r="J118" s="240"/>
      <c r="K118" s="240"/>
    </row>
    <row r="119" spans="1:11">
      <c r="A119" s="134">
        <v>48</v>
      </c>
      <c r="B119" s="56" t="s">
        <v>957</v>
      </c>
      <c r="C119" s="8"/>
      <c r="D119" s="21" t="str">
        <f>IFERROR(VLOOKUP(B119,Product!$B:$H,6,FALSE),"")</f>
        <v/>
      </c>
      <c r="E119" s="139"/>
      <c r="F119" s="28"/>
      <c r="G119" s="89"/>
      <c r="H119" s="139"/>
      <c r="I119" s="28"/>
      <c r="J119" s="240"/>
      <c r="K119" s="240"/>
    </row>
    <row r="120" spans="1:11">
      <c r="A120" s="134">
        <v>49</v>
      </c>
      <c r="B120" s="56" t="s">
        <v>957</v>
      </c>
      <c r="C120" s="8"/>
      <c r="D120" s="21" t="str">
        <f>IFERROR(VLOOKUP(B120,Product!$B:$H,6,FALSE),"")</f>
        <v/>
      </c>
      <c r="E120" s="139"/>
      <c r="F120" s="28"/>
      <c r="G120" s="89"/>
      <c r="H120" s="139"/>
      <c r="I120" s="28"/>
      <c r="J120" s="240"/>
      <c r="K120" s="240"/>
    </row>
    <row r="121" spans="1:11">
      <c r="A121" s="134">
        <v>50</v>
      </c>
      <c r="B121" s="56" t="s">
        <v>957</v>
      </c>
      <c r="C121" s="8"/>
      <c r="D121" s="21" t="str">
        <f>IFERROR(VLOOKUP(B121,Product!$B:$H,6,FALSE),"")</f>
        <v/>
      </c>
      <c r="E121" s="139"/>
      <c r="F121" s="28"/>
      <c r="G121" s="89"/>
      <c r="H121" s="139"/>
      <c r="I121" s="28"/>
      <c r="J121" s="240"/>
      <c r="K121" s="240"/>
    </row>
    <row r="122" spans="1:11">
      <c r="A122" s="134">
        <v>51</v>
      </c>
      <c r="B122" s="56" t="s">
        <v>957</v>
      </c>
      <c r="C122" s="8"/>
      <c r="D122" s="21" t="str">
        <f>IFERROR(VLOOKUP(B122,Product!$B:$H,6,FALSE),"")</f>
        <v/>
      </c>
      <c r="E122" s="139"/>
      <c r="F122" s="28"/>
      <c r="G122" s="89"/>
      <c r="H122" s="139"/>
      <c r="I122" s="28"/>
      <c r="J122" s="240"/>
      <c r="K122" s="240"/>
    </row>
    <row r="123" spans="1:11">
      <c r="A123" s="134">
        <v>52</v>
      </c>
      <c r="B123" s="56" t="s">
        <v>957</v>
      </c>
      <c r="C123" s="8"/>
      <c r="D123" s="21" t="str">
        <f>IFERROR(VLOOKUP(B123,Product!$B:$H,6,FALSE),"")</f>
        <v/>
      </c>
      <c r="E123" s="139"/>
      <c r="F123" s="28"/>
      <c r="G123" s="89"/>
      <c r="H123" s="139"/>
      <c r="I123" s="28"/>
      <c r="J123" s="240"/>
      <c r="K123" s="240"/>
    </row>
    <row r="124" spans="1:11">
      <c r="A124" s="134">
        <v>53</v>
      </c>
      <c r="B124" s="56" t="s">
        <v>957</v>
      </c>
      <c r="C124" s="8"/>
      <c r="D124" s="21" t="str">
        <f>IFERROR(VLOOKUP(B124,Product!$B:$H,6,FALSE),"")</f>
        <v/>
      </c>
      <c r="E124" s="139"/>
      <c r="F124" s="28"/>
      <c r="G124" s="89"/>
      <c r="H124" s="139"/>
      <c r="I124" s="28"/>
      <c r="J124" s="240"/>
      <c r="K124" s="240"/>
    </row>
    <row r="125" spans="1:11">
      <c r="A125" s="134">
        <v>54</v>
      </c>
      <c r="B125" s="56" t="s">
        <v>957</v>
      </c>
      <c r="C125" s="8"/>
      <c r="D125" s="21" t="str">
        <f>IFERROR(VLOOKUP(B125,Product!$B:$H,6,FALSE),"")</f>
        <v/>
      </c>
      <c r="E125" s="139"/>
      <c r="F125" s="28"/>
      <c r="G125" s="89"/>
      <c r="H125" s="139"/>
      <c r="I125" s="28"/>
      <c r="J125" s="240"/>
      <c r="K125" s="240"/>
    </row>
    <row r="126" spans="1:11">
      <c r="A126" s="134">
        <v>55</v>
      </c>
      <c r="B126" s="56" t="s">
        <v>957</v>
      </c>
      <c r="C126" s="8"/>
      <c r="D126" s="21" t="str">
        <f>IFERROR(VLOOKUP(B126,Product!$B:$H,6,FALSE),"")</f>
        <v/>
      </c>
      <c r="E126" s="139"/>
      <c r="F126" s="28"/>
      <c r="G126" s="89"/>
      <c r="H126" s="139"/>
      <c r="I126" s="28"/>
      <c r="J126" s="240"/>
      <c r="K126" s="240"/>
    </row>
    <row r="127" spans="1:11">
      <c r="A127" s="134">
        <v>56</v>
      </c>
      <c r="B127" s="56" t="s">
        <v>957</v>
      </c>
      <c r="C127" s="8"/>
      <c r="D127" s="21" t="str">
        <f>IFERROR(VLOOKUP(B127,Product!$B:$H,6,FALSE),"")</f>
        <v/>
      </c>
      <c r="E127" s="139"/>
      <c r="F127" s="28"/>
      <c r="G127" s="89"/>
      <c r="H127" s="139"/>
      <c r="I127" s="28"/>
      <c r="J127" s="240"/>
      <c r="K127" s="240"/>
    </row>
    <row r="128" spans="1:11">
      <c r="A128" s="134">
        <v>57</v>
      </c>
      <c r="B128" s="56" t="s">
        <v>957</v>
      </c>
      <c r="C128" s="8"/>
      <c r="D128" s="21" t="str">
        <f>IFERROR(VLOOKUP(B128,Product!$B:$H,6,FALSE),"")</f>
        <v/>
      </c>
      <c r="E128" s="139"/>
      <c r="F128" s="28"/>
      <c r="G128" s="89"/>
      <c r="H128" s="139"/>
      <c r="I128" s="28"/>
      <c r="J128" s="240"/>
      <c r="K128" s="240"/>
    </row>
    <row r="129" spans="1:11">
      <c r="A129" s="134">
        <v>58</v>
      </c>
      <c r="B129" s="56" t="s">
        <v>957</v>
      </c>
      <c r="C129" s="8"/>
      <c r="D129" s="21" t="str">
        <f>IFERROR(VLOOKUP(B129,Product!$B:$H,6,FALSE),"")</f>
        <v/>
      </c>
      <c r="E129" s="139"/>
      <c r="F129" s="28"/>
      <c r="G129" s="89"/>
      <c r="H129" s="139"/>
      <c r="I129" s="28"/>
      <c r="J129" s="240"/>
      <c r="K129" s="240"/>
    </row>
    <row r="130" spans="1:11">
      <c r="A130" s="134">
        <v>59</v>
      </c>
      <c r="B130" s="56" t="s">
        <v>957</v>
      </c>
      <c r="C130" s="8"/>
      <c r="D130" s="21" t="str">
        <f>IFERROR(VLOOKUP(B130,Product!$B:$H,6,FALSE),"")</f>
        <v/>
      </c>
      <c r="E130" s="139"/>
      <c r="F130" s="28"/>
      <c r="G130" s="89"/>
      <c r="H130" s="139"/>
      <c r="I130" s="28"/>
      <c r="J130" s="240"/>
      <c r="K130" s="240"/>
    </row>
    <row r="131" spans="1:11">
      <c r="A131" s="134">
        <v>60</v>
      </c>
      <c r="B131" s="56" t="s">
        <v>957</v>
      </c>
      <c r="C131" s="8"/>
      <c r="D131" s="21" t="str">
        <f>IFERROR(VLOOKUP(B131,Product!$B:$H,6,FALSE),"")</f>
        <v/>
      </c>
      <c r="E131" s="139"/>
      <c r="F131" s="28"/>
      <c r="G131" s="89"/>
      <c r="H131" s="139"/>
      <c r="I131" s="28"/>
      <c r="J131" s="240"/>
      <c r="K131" s="240"/>
    </row>
    <row r="132" spans="1:11">
      <c r="A132" s="134">
        <v>61</v>
      </c>
      <c r="B132" s="56" t="s">
        <v>957</v>
      </c>
      <c r="C132" s="8"/>
      <c r="D132" s="21" t="str">
        <f>IFERROR(VLOOKUP(B132,Product!$B:$H,6,FALSE),"")</f>
        <v/>
      </c>
      <c r="E132" s="139"/>
      <c r="F132" s="28"/>
      <c r="G132" s="89"/>
      <c r="H132" s="139"/>
      <c r="I132" s="28"/>
      <c r="J132" s="240"/>
      <c r="K132" s="240"/>
    </row>
    <row r="133" spans="1:11">
      <c r="A133" s="134">
        <v>62</v>
      </c>
      <c r="B133" s="56" t="s">
        <v>957</v>
      </c>
      <c r="C133" s="8"/>
      <c r="D133" s="21" t="str">
        <f>IFERROR(VLOOKUP(B133,Product!$B:$H,6,FALSE),"")</f>
        <v/>
      </c>
      <c r="E133" s="139"/>
      <c r="F133" s="28"/>
      <c r="G133" s="89"/>
      <c r="H133" s="139"/>
      <c r="I133" s="28"/>
      <c r="J133" s="240"/>
      <c r="K133" s="240"/>
    </row>
    <row r="134" spans="1:11">
      <c r="A134" s="134">
        <v>63</v>
      </c>
      <c r="B134" s="56" t="s">
        <v>957</v>
      </c>
      <c r="C134" s="8"/>
      <c r="D134" s="21" t="str">
        <f>IFERROR(VLOOKUP(B134,Product!$B:$H,6,FALSE),"")</f>
        <v/>
      </c>
      <c r="E134" s="139"/>
      <c r="F134" s="28"/>
      <c r="G134" s="89"/>
      <c r="H134" s="139"/>
      <c r="I134" s="28"/>
      <c r="J134" s="240"/>
      <c r="K134" s="240"/>
    </row>
    <row r="135" spans="1:11">
      <c r="A135" s="134">
        <v>64</v>
      </c>
      <c r="B135" s="56" t="s">
        <v>957</v>
      </c>
      <c r="C135" s="8"/>
      <c r="D135" s="21" t="str">
        <f>IFERROR(VLOOKUP(B135,Product!$B:$H,6,FALSE),"")</f>
        <v/>
      </c>
      <c r="E135" s="139"/>
      <c r="F135" s="28"/>
      <c r="G135" s="89"/>
      <c r="H135" s="139"/>
      <c r="I135" s="28"/>
      <c r="J135" s="240"/>
      <c r="K135" s="240"/>
    </row>
    <row r="136" spans="1:11">
      <c r="A136" s="134">
        <v>65</v>
      </c>
      <c r="B136" s="56" t="s">
        <v>957</v>
      </c>
      <c r="C136" s="8"/>
      <c r="D136" s="21" t="str">
        <f>IFERROR(VLOOKUP(B136,Product!$B:$H,6,FALSE),"")</f>
        <v/>
      </c>
      <c r="E136" s="139"/>
      <c r="F136" s="28"/>
      <c r="G136" s="89"/>
      <c r="H136" s="139"/>
      <c r="I136" s="28"/>
      <c r="J136" s="240"/>
      <c r="K136" s="240"/>
    </row>
    <row r="137" spans="1:11">
      <c r="A137" s="134">
        <v>66</v>
      </c>
      <c r="B137" s="56" t="s">
        <v>957</v>
      </c>
      <c r="C137" s="8"/>
      <c r="D137" s="21" t="str">
        <f>IFERROR(VLOOKUP(B137,Product!$B:$H,6,FALSE),"")</f>
        <v/>
      </c>
      <c r="E137" s="139"/>
      <c r="F137" s="28"/>
      <c r="G137" s="89"/>
      <c r="H137" s="139"/>
      <c r="I137" s="28"/>
      <c r="J137" s="240"/>
      <c r="K137" s="240"/>
    </row>
    <row r="138" spans="1:11">
      <c r="A138" s="134">
        <v>67</v>
      </c>
      <c r="B138" s="56" t="s">
        <v>957</v>
      </c>
      <c r="C138" s="8"/>
      <c r="D138" s="21" t="str">
        <f>IFERROR(VLOOKUP(B138,Product!$B:$H,6,FALSE),"")</f>
        <v/>
      </c>
      <c r="E138" s="139"/>
      <c r="F138" s="28"/>
      <c r="G138" s="89"/>
      <c r="H138" s="139"/>
      <c r="I138" s="28"/>
      <c r="J138" s="240"/>
      <c r="K138" s="240"/>
    </row>
    <row r="139" spans="1:11">
      <c r="A139" s="134">
        <v>68</v>
      </c>
      <c r="B139" s="56" t="s">
        <v>957</v>
      </c>
      <c r="C139" s="8"/>
      <c r="D139" s="21" t="str">
        <f>IFERROR(VLOOKUP(B139,Product!$B:$H,6,FALSE),"")</f>
        <v/>
      </c>
      <c r="E139" s="139"/>
      <c r="F139" s="28"/>
      <c r="G139" s="89"/>
      <c r="H139" s="139"/>
      <c r="I139" s="28"/>
      <c r="J139" s="240"/>
      <c r="K139" s="240"/>
    </row>
    <row r="140" spans="1:11">
      <c r="A140" s="134">
        <v>69</v>
      </c>
      <c r="B140" s="56" t="s">
        <v>957</v>
      </c>
      <c r="C140" s="8"/>
      <c r="D140" s="21" t="str">
        <f>IFERROR(VLOOKUP(B140,Product!$B:$H,6,FALSE),"")</f>
        <v/>
      </c>
      <c r="E140" s="139"/>
      <c r="F140" s="28"/>
      <c r="G140" s="89"/>
      <c r="H140" s="139"/>
      <c r="I140" s="28"/>
      <c r="J140" s="240"/>
      <c r="K140" s="240"/>
    </row>
    <row r="141" spans="1:11">
      <c r="A141" s="134">
        <v>70</v>
      </c>
      <c r="B141" s="56" t="s">
        <v>957</v>
      </c>
      <c r="C141" s="8"/>
      <c r="D141" s="21" t="str">
        <f>IFERROR(VLOOKUP(B141,Product!$B:$H,6,FALSE),"")</f>
        <v/>
      </c>
      <c r="E141" s="139"/>
      <c r="F141" s="28"/>
      <c r="G141" s="89"/>
      <c r="H141" s="139"/>
      <c r="I141" s="28"/>
      <c r="J141" s="240"/>
      <c r="K141" s="240"/>
    </row>
    <row r="142" spans="1:11">
      <c r="A142" s="134">
        <v>71</v>
      </c>
      <c r="B142" s="56" t="s">
        <v>957</v>
      </c>
      <c r="C142" s="8"/>
      <c r="D142" s="21" t="str">
        <f>IFERROR(VLOOKUP(B142,Product!$B:$H,6,FALSE),"")</f>
        <v/>
      </c>
      <c r="E142" s="139"/>
      <c r="F142" s="28"/>
      <c r="G142" s="89"/>
      <c r="H142" s="139"/>
      <c r="I142" s="28"/>
      <c r="J142" s="240"/>
      <c r="K142" s="240"/>
    </row>
    <row r="143" spans="1:11">
      <c r="A143" s="134">
        <v>72</v>
      </c>
      <c r="B143" s="56" t="s">
        <v>957</v>
      </c>
      <c r="C143" s="8"/>
      <c r="D143" s="21" t="str">
        <f>IFERROR(VLOOKUP(B143,Product!$B:$H,6,FALSE),"")</f>
        <v/>
      </c>
      <c r="E143" s="139"/>
      <c r="F143" s="28"/>
      <c r="G143" s="89"/>
      <c r="H143" s="139"/>
      <c r="I143" s="28"/>
      <c r="J143" s="240"/>
      <c r="K143" s="240"/>
    </row>
    <row r="144" spans="1:11">
      <c r="A144" s="134">
        <v>73</v>
      </c>
      <c r="B144" s="56" t="s">
        <v>957</v>
      </c>
      <c r="C144" s="8"/>
      <c r="D144" s="21" t="str">
        <f>IFERROR(VLOOKUP(B144,Product!$B:$H,6,FALSE),"")</f>
        <v/>
      </c>
      <c r="E144" s="139"/>
      <c r="F144" s="28"/>
      <c r="G144" s="89"/>
      <c r="H144" s="139"/>
      <c r="I144" s="28"/>
      <c r="J144" s="240"/>
      <c r="K144" s="240"/>
    </row>
    <row r="145" spans="1:11">
      <c r="A145" s="134">
        <v>74</v>
      </c>
      <c r="B145" s="56" t="s">
        <v>957</v>
      </c>
      <c r="C145" s="8"/>
      <c r="D145" s="21" t="str">
        <f>IFERROR(VLOOKUP(B145,Product!$B:$H,6,FALSE),"")</f>
        <v/>
      </c>
      <c r="E145" s="139"/>
      <c r="F145" s="28"/>
      <c r="G145" s="89"/>
      <c r="H145" s="139"/>
      <c r="I145" s="28"/>
      <c r="J145" s="240"/>
      <c r="K145" s="240"/>
    </row>
    <row r="146" spans="1:11">
      <c r="A146" s="134">
        <v>75</v>
      </c>
      <c r="B146" s="56" t="s">
        <v>957</v>
      </c>
      <c r="C146" s="8"/>
      <c r="D146" s="21" t="str">
        <f>IFERROR(VLOOKUP(B146,Product!$B:$H,6,FALSE),"")</f>
        <v/>
      </c>
      <c r="E146" s="139"/>
      <c r="F146" s="28"/>
      <c r="G146" s="89"/>
      <c r="H146" s="139"/>
      <c r="I146" s="28"/>
      <c r="J146" s="240"/>
      <c r="K146" s="240"/>
    </row>
    <row r="147" spans="1:11">
      <c r="A147" s="134">
        <v>76</v>
      </c>
      <c r="B147" s="56" t="s">
        <v>957</v>
      </c>
      <c r="C147" s="8"/>
      <c r="D147" s="21" t="str">
        <f>IFERROR(VLOOKUP(B147,Product!$B:$H,6,FALSE),"")</f>
        <v/>
      </c>
      <c r="E147" s="139"/>
      <c r="F147" s="28"/>
      <c r="G147" s="89"/>
      <c r="H147" s="139"/>
      <c r="I147" s="28"/>
      <c r="J147" s="240"/>
      <c r="K147" s="240"/>
    </row>
    <row r="148" spans="1:11">
      <c r="A148" s="134">
        <v>77</v>
      </c>
      <c r="B148" s="56" t="s">
        <v>957</v>
      </c>
      <c r="C148" s="8"/>
      <c r="D148" s="21" t="str">
        <f>IFERROR(VLOOKUP(B148,Product!$B:$H,6,FALSE),"")</f>
        <v/>
      </c>
      <c r="E148" s="139"/>
      <c r="F148" s="28"/>
      <c r="G148" s="89"/>
      <c r="H148" s="139"/>
      <c r="I148" s="28"/>
      <c r="J148" s="240"/>
      <c r="K148" s="240"/>
    </row>
    <row r="149" spans="1:11">
      <c r="A149" s="134">
        <v>78</v>
      </c>
      <c r="B149" s="56" t="s">
        <v>957</v>
      </c>
      <c r="C149" s="8"/>
      <c r="D149" s="21" t="str">
        <f>IFERROR(VLOOKUP(B149,Product!$B:$H,6,FALSE),"")</f>
        <v/>
      </c>
      <c r="E149" s="139"/>
      <c r="F149" s="28"/>
      <c r="G149" s="89"/>
      <c r="H149" s="139"/>
      <c r="I149" s="28"/>
      <c r="J149" s="240"/>
      <c r="K149" s="240"/>
    </row>
    <row r="150" spans="1:11">
      <c r="A150" s="134">
        <v>79</v>
      </c>
      <c r="B150" s="56" t="s">
        <v>957</v>
      </c>
      <c r="C150" s="8"/>
      <c r="D150" s="21" t="str">
        <f>IFERROR(VLOOKUP(B150,Product!$B:$H,6,FALSE),"")</f>
        <v/>
      </c>
      <c r="E150" s="139"/>
      <c r="F150" s="28"/>
      <c r="G150" s="89"/>
      <c r="H150" s="139"/>
      <c r="I150" s="28"/>
      <c r="J150" s="240"/>
      <c r="K150" s="240"/>
    </row>
    <row r="151" spans="1:11">
      <c r="A151" s="134">
        <v>80</v>
      </c>
      <c r="B151" s="56" t="s">
        <v>957</v>
      </c>
      <c r="C151" s="8"/>
      <c r="D151" s="21" t="str">
        <f>IFERROR(VLOOKUP(B151,Product!$B:$H,6,FALSE),"")</f>
        <v/>
      </c>
      <c r="E151" s="139"/>
      <c r="F151" s="28"/>
      <c r="G151" s="89"/>
      <c r="H151" s="139"/>
      <c r="I151" s="28"/>
      <c r="J151" s="240"/>
      <c r="K151" s="240"/>
    </row>
    <row r="152" spans="1:11">
      <c r="A152" s="134">
        <v>81</v>
      </c>
      <c r="B152" s="56" t="s">
        <v>957</v>
      </c>
      <c r="C152" s="8"/>
      <c r="D152" s="21" t="str">
        <f>IFERROR(VLOOKUP(B152,Product!$B:$H,6,FALSE),"")</f>
        <v/>
      </c>
      <c r="E152" s="139"/>
      <c r="F152" s="28"/>
      <c r="G152" s="89"/>
      <c r="H152" s="139"/>
      <c r="I152" s="28"/>
      <c r="J152" s="240"/>
      <c r="K152" s="240"/>
    </row>
    <row r="153" spans="1:11">
      <c r="A153" s="134">
        <v>82</v>
      </c>
      <c r="B153" s="56" t="s">
        <v>957</v>
      </c>
      <c r="C153" s="8"/>
      <c r="D153" s="21" t="str">
        <f>IFERROR(VLOOKUP(B153,Product!$B:$H,6,FALSE),"")</f>
        <v/>
      </c>
      <c r="E153" s="139"/>
      <c r="F153" s="28"/>
      <c r="G153" s="89"/>
      <c r="H153" s="139"/>
      <c r="I153" s="28"/>
      <c r="J153" s="240"/>
      <c r="K153" s="240"/>
    </row>
    <row r="154" spans="1:11">
      <c r="A154" s="134">
        <v>83</v>
      </c>
      <c r="B154" s="56" t="s">
        <v>957</v>
      </c>
      <c r="C154" s="8"/>
      <c r="D154" s="21" t="str">
        <f>IFERROR(VLOOKUP(B154,Product!$B:$H,6,FALSE),"")</f>
        <v/>
      </c>
      <c r="E154" s="139"/>
      <c r="F154" s="28"/>
      <c r="G154" s="89"/>
      <c r="H154" s="139"/>
      <c r="I154" s="28"/>
      <c r="J154" s="240"/>
      <c r="K154" s="240"/>
    </row>
    <row r="155" spans="1:11">
      <c r="A155" s="134">
        <v>84</v>
      </c>
      <c r="B155" s="56" t="s">
        <v>957</v>
      </c>
      <c r="C155" s="8"/>
      <c r="D155" s="21" t="str">
        <f>IFERROR(VLOOKUP(B155,Product!$B:$H,6,FALSE),"")</f>
        <v/>
      </c>
      <c r="E155" s="139"/>
      <c r="F155" s="28"/>
      <c r="G155" s="89"/>
      <c r="H155" s="139"/>
      <c r="I155" s="28"/>
      <c r="J155" s="240"/>
      <c r="K155" s="240"/>
    </row>
    <row r="156" spans="1:11">
      <c r="A156" s="134">
        <v>85</v>
      </c>
      <c r="B156" s="56" t="s">
        <v>957</v>
      </c>
      <c r="C156" s="8"/>
      <c r="D156" s="21" t="str">
        <f>IFERROR(VLOOKUP(B156,Product!$B:$H,6,FALSE),"")</f>
        <v/>
      </c>
      <c r="E156" s="139"/>
      <c r="F156" s="28"/>
      <c r="G156" s="89"/>
      <c r="H156" s="139"/>
      <c r="I156" s="28"/>
      <c r="J156" s="240"/>
      <c r="K156" s="240"/>
    </row>
    <row r="157" spans="1:11">
      <c r="A157" s="134">
        <v>86</v>
      </c>
      <c r="B157" s="56" t="s">
        <v>957</v>
      </c>
      <c r="C157" s="8"/>
      <c r="D157" s="21" t="str">
        <f>IFERROR(VLOOKUP(B157,Product!$B:$H,6,FALSE),"")</f>
        <v/>
      </c>
      <c r="E157" s="139"/>
      <c r="F157" s="28"/>
      <c r="G157" s="89"/>
      <c r="H157" s="139"/>
      <c r="I157" s="28"/>
      <c r="J157" s="240"/>
      <c r="K157" s="240"/>
    </row>
    <row r="158" spans="1:11">
      <c r="A158" s="134">
        <v>87</v>
      </c>
      <c r="B158" s="56" t="s">
        <v>957</v>
      </c>
      <c r="C158" s="8"/>
      <c r="D158" s="21" t="str">
        <f>IFERROR(VLOOKUP(B158,Product!$B:$H,6,FALSE),"")</f>
        <v/>
      </c>
      <c r="E158" s="139"/>
      <c r="F158" s="28"/>
      <c r="G158" s="89"/>
      <c r="H158" s="139"/>
      <c r="I158" s="28"/>
      <c r="J158" s="240"/>
      <c r="K158" s="240"/>
    </row>
    <row r="159" spans="1:11">
      <c r="A159" s="134">
        <v>88</v>
      </c>
      <c r="B159" s="56" t="s">
        <v>957</v>
      </c>
      <c r="C159" s="8"/>
      <c r="D159" s="21" t="str">
        <f>IFERROR(VLOOKUP(B159,Product!$B:$H,6,FALSE),"")</f>
        <v/>
      </c>
      <c r="E159" s="139"/>
      <c r="F159" s="28"/>
      <c r="G159" s="89"/>
      <c r="H159" s="139"/>
      <c r="I159" s="28"/>
      <c r="J159" s="240"/>
      <c r="K159" s="240"/>
    </row>
    <row r="160" spans="1:11">
      <c r="A160" s="134">
        <v>89</v>
      </c>
      <c r="B160" s="56" t="s">
        <v>957</v>
      </c>
      <c r="C160" s="8"/>
      <c r="D160" s="21" t="str">
        <f>IFERROR(VLOOKUP(B160,Product!$B:$H,6,FALSE),"")</f>
        <v/>
      </c>
      <c r="E160" s="139"/>
      <c r="F160" s="28"/>
      <c r="G160" s="89"/>
      <c r="H160" s="139"/>
      <c r="I160" s="28"/>
      <c r="J160" s="240"/>
      <c r="K160" s="240"/>
    </row>
    <row r="161" spans="1:11">
      <c r="A161" s="134">
        <v>90</v>
      </c>
      <c r="B161" s="56" t="s">
        <v>957</v>
      </c>
      <c r="C161" s="8"/>
      <c r="D161" s="21" t="str">
        <f>IFERROR(VLOOKUP(B161,Product!$B:$H,6,FALSE),"")</f>
        <v/>
      </c>
      <c r="E161" s="139"/>
      <c r="F161" s="28"/>
      <c r="G161" s="89"/>
      <c r="H161" s="139"/>
      <c r="I161" s="28"/>
      <c r="J161" s="240"/>
      <c r="K161" s="240"/>
    </row>
    <row r="162" spans="1:11">
      <c r="A162" s="134">
        <v>91</v>
      </c>
      <c r="B162" s="56" t="s">
        <v>957</v>
      </c>
      <c r="C162" s="8"/>
      <c r="D162" s="21" t="str">
        <f>IFERROR(VLOOKUP(B162,Product!$B:$H,6,FALSE),"")</f>
        <v/>
      </c>
      <c r="E162" s="139"/>
      <c r="F162" s="28"/>
      <c r="G162" s="89"/>
      <c r="H162" s="139"/>
      <c r="I162" s="28"/>
      <c r="J162" s="240"/>
      <c r="K162" s="240"/>
    </row>
    <row r="163" spans="1:11">
      <c r="A163" s="134">
        <v>92</v>
      </c>
      <c r="B163" s="56" t="s">
        <v>957</v>
      </c>
      <c r="C163" s="8"/>
      <c r="D163" s="21" t="str">
        <f>IFERROR(VLOOKUP(B163,Product!$B:$H,6,FALSE),"")</f>
        <v/>
      </c>
      <c r="E163" s="139"/>
      <c r="F163" s="28"/>
      <c r="G163" s="89"/>
      <c r="H163" s="139"/>
      <c r="I163" s="28"/>
      <c r="J163" s="240"/>
      <c r="K163" s="240"/>
    </row>
    <row r="164" spans="1:11">
      <c r="A164" s="134">
        <v>93</v>
      </c>
      <c r="B164" s="56" t="s">
        <v>957</v>
      </c>
      <c r="C164" s="8"/>
      <c r="D164" s="21" t="str">
        <f>IFERROR(VLOOKUP(B164,Product!$B:$H,6,FALSE),"")</f>
        <v/>
      </c>
      <c r="E164" s="139"/>
      <c r="F164" s="28"/>
      <c r="G164" s="89"/>
      <c r="H164" s="139"/>
      <c r="I164" s="28"/>
      <c r="J164" s="240"/>
      <c r="K164" s="240"/>
    </row>
    <row r="165" spans="1:11">
      <c r="A165" s="134">
        <v>94</v>
      </c>
      <c r="B165" s="56" t="s">
        <v>957</v>
      </c>
      <c r="C165" s="8"/>
      <c r="D165" s="21" t="str">
        <f>IFERROR(VLOOKUP(B165,Product!$B:$H,6,FALSE),"")</f>
        <v/>
      </c>
      <c r="E165" s="139"/>
      <c r="F165" s="28"/>
      <c r="G165" s="89"/>
      <c r="H165" s="139"/>
      <c r="I165" s="28"/>
      <c r="J165" s="240"/>
      <c r="K165" s="240"/>
    </row>
    <row r="166" spans="1:11">
      <c r="A166" s="134">
        <v>95</v>
      </c>
      <c r="B166" s="56" t="s">
        <v>957</v>
      </c>
      <c r="C166" s="8"/>
      <c r="D166" s="21" t="str">
        <f>IFERROR(VLOOKUP(B166,Product!$B:$H,6,FALSE),"")</f>
        <v/>
      </c>
      <c r="E166" s="139"/>
      <c r="F166" s="28"/>
      <c r="G166" s="89"/>
      <c r="H166" s="139"/>
      <c r="I166" s="28"/>
      <c r="J166" s="240"/>
      <c r="K166" s="240"/>
    </row>
    <row r="167" spans="1:11">
      <c r="A167" s="134">
        <v>96</v>
      </c>
      <c r="B167" s="56" t="s">
        <v>957</v>
      </c>
      <c r="C167" s="8"/>
      <c r="D167" s="21" t="str">
        <f>IFERROR(VLOOKUP(B167,Product!$B:$H,6,FALSE),"")</f>
        <v/>
      </c>
      <c r="E167" s="139"/>
      <c r="F167" s="28"/>
      <c r="G167" s="89"/>
      <c r="H167" s="139"/>
      <c r="I167" s="28"/>
      <c r="J167" s="240"/>
      <c r="K167" s="240"/>
    </row>
    <row r="168" spans="1:11">
      <c r="A168" s="134">
        <v>97</v>
      </c>
      <c r="B168" s="56" t="s">
        <v>957</v>
      </c>
      <c r="C168" s="8"/>
      <c r="D168" s="21" t="str">
        <f>IFERROR(VLOOKUP(B168,Product!$B:$H,6,FALSE),"")</f>
        <v/>
      </c>
      <c r="E168" s="139"/>
      <c r="F168" s="28"/>
      <c r="G168" s="89"/>
      <c r="H168" s="139"/>
      <c r="I168" s="28"/>
      <c r="J168" s="240"/>
      <c r="K168" s="240"/>
    </row>
    <row r="169" spans="1:11">
      <c r="A169" s="134">
        <v>98</v>
      </c>
      <c r="B169" s="56" t="s">
        <v>957</v>
      </c>
      <c r="C169" s="8"/>
      <c r="D169" s="21" t="str">
        <f>IFERROR(VLOOKUP(B169,Product!$B:$H,6,FALSE),"")</f>
        <v/>
      </c>
      <c r="E169" s="139"/>
      <c r="F169" s="28"/>
      <c r="G169" s="89"/>
      <c r="H169" s="139"/>
      <c r="I169" s="28"/>
      <c r="J169" s="240"/>
      <c r="K169" s="240"/>
    </row>
    <row r="170" spans="1:11">
      <c r="A170" s="134">
        <v>99</v>
      </c>
      <c r="B170" s="56" t="s">
        <v>957</v>
      </c>
      <c r="C170" s="8"/>
      <c r="D170" s="21" t="str">
        <f>IFERROR(VLOOKUP(B170,Product!$B:$H,6,FALSE),"")</f>
        <v/>
      </c>
      <c r="E170" s="139"/>
      <c r="F170" s="28"/>
      <c r="G170" s="89"/>
      <c r="H170" s="139"/>
      <c r="I170" s="28"/>
      <c r="J170" s="240"/>
      <c r="K170" s="240"/>
    </row>
    <row r="171" spans="1:11">
      <c r="A171" s="134">
        <v>100</v>
      </c>
      <c r="B171" s="56" t="s">
        <v>957</v>
      </c>
      <c r="C171" s="8"/>
      <c r="D171" s="21" t="str">
        <f>IFERROR(VLOOKUP(B171,Product!$B:$H,6,FALSE),"")</f>
        <v/>
      </c>
      <c r="E171" s="139"/>
      <c r="F171" s="28"/>
      <c r="G171" s="89"/>
      <c r="H171" s="139"/>
      <c r="I171" s="28"/>
      <c r="J171" s="240"/>
      <c r="K171" s="240"/>
    </row>
    <row r="172" spans="1:11">
      <c r="A172" s="134">
        <v>101</v>
      </c>
      <c r="B172" s="56" t="s">
        <v>957</v>
      </c>
      <c r="C172" s="8"/>
      <c r="D172" s="21" t="str">
        <f>IFERROR(VLOOKUP(B172,Product!$B:$H,6,FALSE),"")</f>
        <v/>
      </c>
      <c r="E172" s="139"/>
      <c r="F172" s="28"/>
      <c r="G172" s="89"/>
      <c r="H172" s="139"/>
      <c r="I172" s="28"/>
      <c r="J172" s="240"/>
      <c r="K172" s="240"/>
    </row>
    <row r="173" spans="1:11">
      <c r="A173" s="134">
        <v>102</v>
      </c>
      <c r="B173" s="56" t="s">
        <v>957</v>
      </c>
      <c r="C173" s="8"/>
      <c r="D173" s="21" t="str">
        <f>IFERROR(VLOOKUP(B173,Product!$B:$H,6,FALSE),"")</f>
        <v/>
      </c>
      <c r="E173" s="139"/>
      <c r="F173" s="28"/>
      <c r="G173" s="89"/>
      <c r="H173" s="139"/>
      <c r="I173" s="28"/>
      <c r="J173" s="240"/>
      <c r="K173" s="240"/>
    </row>
    <row r="174" spans="1:11">
      <c r="A174" s="134">
        <v>103</v>
      </c>
      <c r="B174" s="56" t="s">
        <v>957</v>
      </c>
      <c r="C174" s="8"/>
      <c r="D174" s="21" t="str">
        <f>IFERROR(VLOOKUP(B174,Product!$B:$H,6,FALSE),"")</f>
        <v/>
      </c>
      <c r="E174" s="139"/>
      <c r="F174" s="28"/>
      <c r="G174" s="89"/>
      <c r="H174" s="139"/>
      <c r="I174" s="28"/>
      <c r="J174" s="240"/>
      <c r="K174" s="240"/>
    </row>
    <row r="175" spans="1:11">
      <c r="A175" s="134">
        <v>104</v>
      </c>
      <c r="B175" s="56" t="s">
        <v>957</v>
      </c>
      <c r="C175" s="8"/>
      <c r="D175" s="21" t="str">
        <f>IFERROR(VLOOKUP(B175,Product!$B:$H,6,FALSE),"")</f>
        <v/>
      </c>
      <c r="E175" s="139"/>
      <c r="F175" s="28"/>
      <c r="G175" s="89"/>
      <c r="H175" s="139"/>
      <c r="I175" s="28"/>
      <c r="J175" s="240"/>
      <c r="K175" s="240"/>
    </row>
    <row r="176" spans="1:11">
      <c r="A176" s="134">
        <v>105</v>
      </c>
      <c r="B176" s="56" t="s">
        <v>957</v>
      </c>
      <c r="C176" s="8"/>
      <c r="D176" s="21" t="str">
        <f>IFERROR(VLOOKUP(B176,Product!$B:$H,6,FALSE),"")</f>
        <v/>
      </c>
      <c r="E176" s="139"/>
      <c r="F176" s="28"/>
      <c r="G176" s="89"/>
      <c r="H176" s="139"/>
      <c r="I176" s="28"/>
      <c r="J176" s="240"/>
      <c r="K176" s="240"/>
    </row>
    <row r="177" spans="1:11">
      <c r="A177" s="134">
        <v>106</v>
      </c>
      <c r="B177" s="56" t="s">
        <v>957</v>
      </c>
      <c r="C177" s="8"/>
      <c r="D177" s="21" t="str">
        <f>IFERROR(VLOOKUP(B177,Product!$B:$H,6,FALSE),"")</f>
        <v/>
      </c>
      <c r="E177" s="139"/>
      <c r="F177" s="28"/>
      <c r="G177" s="89"/>
      <c r="H177" s="139"/>
      <c r="I177" s="28"/>
      <c r="J177" s="240"/>
      <c r="K177" s="240"/>
    </row>
    <row r="178" spans="1:11">
      <c r="A178" s="134">
        <v>107</v>
      </c>
      <c r="B178" s="56" t="s">
        <v>957</v>
      </c>
      <c r="C178" s="8"/>
      <c r="D178" s="21" t="str">
        <f>IFERROR(VLOOKUP(B178,Product!$B:$H,6,FALSE),"")</f>
        <v/>
      </c>
      <c r="E178" s="139"/>
      <c r="F178" s="28"/>
      <c r="G178" s="89"/>
      <c r="H178" s="139"/>
      <c r="I178" s="28"/>
      <c r="J178" s="240"/>
      <c r="K178" s="240"/>
    </row>
    <row r="179" spans="1:11">
      <c r="A179" s="134">
        <v>108</v>
      </c>
      <c r="B179" s="56" t="s">
        <v>957</v>
      </c>
      <c r="C179" s="8"/>
      <c r="D179" s="21" t="str">
        <f>IFERROR(VLOOKUP(B179,Product!$B:$H,6,FALSE),"")</f>
        <v/>
      </c>
      <c r="E179" s="139"/>
      <c r="F179" s="28"/>
      <c r="G179" s="89"/>
      <c r="H179" s="139"/>
      <c r="I179" s="28"/>
      <c r="J179" s="240"/>
      <c r="K179" s="240"/>
    </row>
    <row r="180" spans="1:11">
      <c r="A180" s="134">
        <v>109</v>
      </c>
      <c r="B180" s="56" t="s">
        <v>957</v>
      </c>
      <c r="C180" s="8"/>
      <c r="D180" s="21" t="str">
        <f>IFERROR(VLOOKUP(B180,Product!$B:$H,6,FALSE),"")</f>
        <v/>
      </c>
      <c r="E180" s="139"/>
      <c r="F180" s="28"/>
      <c r="G180" s="89"/>
      <c r="H180" s="139"/>
      <c r="I180" s="28"/>
      <c r="J180" s="240"/>
      <c r="K180" s="240"/>
    </row>
    <row r="181" spans="1:11">
      <c r="A181" s="134">
        <v>110</v>
      </c>
      <c r="B181" s="56" t="s">
        <v>957</v>
      </c>
      <c r="C181" s="8"/>
      <c r="D181" s="21" t="str">
        <f>IFERROR(VLOOKUP(B181,Product!$B:$H,6,FALSE),"")</f>
        <v/>
      </c>
      <c r="E181" s="139"/>
      <c r="F181" s="28"/>
      <c r="G181" s="89"/>
      <c r="H181" s="139"/>
      <c r="I181" s="28"/>
      <c r="J181" s="240"/>
      <c r="K181" s="240"/>
    </row>
    <row r="182" spans="1:11">
      <c r="A182" s="134">
        <v>111</v>
      </c>
      <c r="B182" s="56" t="s">
        <v>957</v>
      </c>
      <c r="C182" s="8"/>
      <c r="D182" s="21" t="str">
        <f>IFERROR(VLOOKUP(B182,Product!$B:$H,6,FALSE),"")</f>
        <v/>
      </c>
      <c r="E182" s="139"/>
      <c r="F182" s="28"/>
      <c r="G182" s="89"/>
      <c r="H182" s="139"/>
      <c r="I182" s="28"/>
      <c r="J182" s="240"/>
      <c r="K182" s="240"/>
    </row>
    <row r="183" spans="1:11">
      <c r="A183" s="134">
        <v>112</v>
      </c>
      <c r="B183" s="56" t="s">
        <v>957</v>
      </c>
      <c r="C183" s="8"/>
      <c r="D183" s="21" t="str">
        <f>IFERROR(VLOOKUP(B183,Product!$B:$H,6,FALSE),"")</f>
        <v/>
      </c>
      <c r="E183" s="139"/>
      <c r="F183" s="28"/>
      <c r="G183" s="89"/>
      <c r="H183" s="139"/>
      <c r="I183" s="28"/>
      <c r="J183" s="240"/>
      <c r="K183" s="240"/>
    </row>
    <row r="184" spans="1:11">
      <c r="A184" s="134">
        <v>113</v>
      </c>
      <c r="B184" s="56" t="s">
        <v>957</v>
      </c>
      <c r="C184" s="8"/>
      <c r="D184" s="21" t="str">
        <f>IFERROR(VLOOKUP(B184,Product!$B:$H,6,FALSE),"")</f>
        <v/>
      </c>
      <c r="E184" s="139"/>
      <c r="F184" s="28"/>
      <c r="G184" s="89"/>
      <c r="H184" s="139"/>
      <c r="I184" s="28"/>
      <c r="J184" s="240"/>
      <c r="K184" s="240"/>
    </row>
    <row r="185" spans="1:11">
      <c r="A185" s="134">
        <v>114</v>
      </c>
      <c r="B185" s="56" t="s">
        <v>957</v>
      </c>
      <c r="C185" s="8"/>
      <c r="D185" s="21" t="str">
        <f>IFERROR(VLOOKUP(B185,Product!$B:$H,6,FALSE),"")</f>
        <v/>
      </c>
      <c r="E185" s="139"/>
      <c r="F185" s="28"/>
      <c r="G185" s="89"/>
      <c r="H185" s="139"/>
      <c r="I185" s="28"/>
      <c r="J185" s="240"/>
      <c r="K185" s="240"/>
    </row>
    <row r="186" spans="1:11">
      <c r="A186" s="134">
        <v>115</v>
      </c>
      <c r="B186" s="56" t="s">
        <v>957</v>
      </c>
      <c r="C186" s="8"/>
      <c r="D186" s="21" t="str">
        <f>IFERROR(VLOOKUP(B186,Product!$B:$H,6,FALSE),"")</f>
        <v/>
      </c>
      <c r="E186" s="139"/>
      <c r="F186" s="28"/>
      <c r="G186" s="89"/>
      <c r="H186" s="139"/>
      <c r="I186" s="28"/>
      <c r="J186" s="240"/>
      <c r="K186" s="240"/>
    </row>
    <row r="187" spans="1:11">
      <c r="A187" s="134">
        <v>116</v>
      </c>
      <c r="B187" s="56" t="s">
        <v>957</v>
      </c>
      <c r="C187" s="8"/>
      <c r="D187" s="21" t="str">
        <f>IFERROR(VLOOKUP(B187,Product!$B:$H,6,FALSE),"")</f>
        <v/>
      </c>
      <c r="E187" s="139"/>
      <c r="F187" s="28"/>
      <c r="G187" s="89"/>
      <c r="H187" s="139"/>
      <c r="I187" s="28"/>
      <c r="J187" s="240"/>
      <c r="K187" s="240"/>
    </row>
    <row r="188" spans="1:11">
      <c r="A188" s="134">
        <v>117</v>
      </c>
      <c r="B188" s="56" t="s">
        <v>957</v>
      </c>
      <c r="C188" s="8"/>
      <c r="D188" s="21" t="str">
        <f>IFERROR(VLOOKUP(B188,Product!$B:$H,6,FALSE),"")</f>
        <v/>
      </c>
      <c r="E188" s="139"/>
      <c r="F188" s="28"/>
      <c r="G188" s="89"/>
      <c r="H188" s="139"/>
      <c r="I188" s="28"/>
      <c r="J188" s="240"/>
      <c r="K188" s="240"/>
    </row>
    <row r="189" spans="1:11">
      <c r="A189" s="134">
        <v>118</v>
      </c>
      <c r="B189" s="56" t="s">
        <v>957</v>
      </c>
      <c r="C189" s="8"/>
      <c r="D189" s="21" t="str">
        <f>IFERROR(VLOOKUP(B189,Product!$B:$H,6,FALSE),"")</f>
        <v/>
      </c>
      <c r="E189" s="139"/>
      <c r="F189" s="28"/>
      <c r="G189" s="89"/>
      <c r="H189" s="139"/>
      <c r="I189" s="28"/>
      <c r="J189" s="240"/>
      <c r="K189" s="240"/>
    </row>
    <row r="190" spans="1:11">
      <c r="A190" s="134">
        <v>119</v>
      </c>
      <c r="B190" s="56" t="s">
        <v>957</v>
      </c>
      <c r="C190" s="8"/>
      <c r="D190" s="21" t="str">
        <f>IFERROR(VLOOKUP(B190,Product!$B:$H,6,FALSE),"")</f>
        <v/>
      </c>
      <c r="E190" s="139"/>
      <c r="F190" s="28"/>
      <c r="G190" s="89"/>
      <c r="H190" s="139"/>
      <c r="I190" s="28"/>
      <c r="J190" s="240"/>
      <c r="K190" s="240"/>
    </row>
    <row r="191" spans="1:11">
      <c r="A191" s="134">
        <v>120</v>
      </c>
      <c r="B191" s="56" t="s">
        <v>957</v>
      </c>
      <c r="C191" s="8"/>
      <c r="D191" s="21" t="str">
        <f>IFERROR(VLOOKUP(B191,Product!$B:$H,6,FALSE),"")</f>
        <v/>
      </c>
      <c r="E191" s="139"/>
      <c r="F191" s="28"/>
      <c r="G191" s="89"/>
      <c r="H191" s="139"/>
      <c r="I191" s="28"/>
      <c r="J191" s="240"/>
      <c r="K191" s="240"/>
    </row>
    <row r="192" spans="1:11">
      <c r="A192" s="134">
        <v>121</v>
      </c>
      <c r="B192" s="56" t="s">
        <v>957</v>
      </c>
      <c r="C192" s="8"/>
      <c r="D192" s="21" t="str">
        <f>IFERROR(VLOOKUP(B192,Product!$B:$H,6,FALSE),"")</f>
        <v/>
      </c>
      <c r="E192" s="139"/>
      <c r="F192" s="28"/>
      <c r="G192" s="89"/>
      <c r="H192" s="139"/>
      <c r="I192" s="28"/>
      <c r="J192" s="240"/>
      <c r="K192" s="240"/>
    </row>
    <row r="193" spans="1:11">
      <c r="A193" s="134">
        <v>122</v>
      </c>
      <c r="B193" s="56" t="s">
        <v>957</v>
      </c>
      <c r="C193" s="8"/>
      <c r="D193" s="21" t="str">
        <f>IFERROR(VLOOKUP(B193,Product!$B:$H,6,FALSE),"")</f>
        <v/>
      </c>
      <c r="E193" s="139"/>
      <c r="F193" s="28"/>
      <c r="G193" s="89"/>
      <c r="H193" s="139"/>
      <c r="I193" s="28"/>
      <c r="J193" s="240"/>
      <c r="K193" s="240"/>
    </row>
    <row r="194" spans="1:11">
      <c r="A194" s="134">
        <v>123</v>
      </c>
      <c r="B194" s="56" t="s">
        <v>957</v>
      </c>
      <c r="C194" s="8"/>
      <c r="D194" s="21" t="str">
        <f>IFERROR(VLOOKUP(B194,Product!$B:$H,6,FALSE),"")</f>
        <v/>
      </c>
      <c r="E194" s="139"/>
      <c r="F194" s="28"/>
      <c r="G194" s="89"/>
      <c r="H194" s="139"/>
      <c r="I194" s="28"/>
      <c r="J194" s="240"/>
      <c r="K194" s="240"/>
    </row>
    <row r="195" spans="1:11">
      <c r="A195" s="134">
        <v>124</v>
      </c>
      <c r="B195" s="56" t="s">
        <v>957</v>
      </c>
      <c r="C195" s="8"/>
      <c r="D195" s="21" t="str">
        <f>IFERROR(VLOOKUP(B195,Product!$B:$H,6,FALSE),"")</f>
        <v/>
      </c>
      <c r="E195" s="139"/>
      <c r="F195" s="28"/>
      <c r="G195" s="89"/>
      <c r="H195" s="139"/>
      <c r="I195" s="28"/>
      <c r="J195" s="240"/>
      <c r="K195" s="240"/>
    </row>
    <row r="196" spans="1:11">
      <c r="A196" s="134">
        <v>125</v>
      </c>
      <c r="B196" s="56" t="s">
        <v>957</v>
      </c>
      <c r="C196" s="8"/>
      <c r="D196" s="21" t="str">
        <f>IFERROR(VLOOKUP(B196,Product!$B:$H,6,FALSE),"")</f>
        <v/>
      </c>
      <c r="E196" s="139"/>
      <c r="F196" s="28"/>
      <c r="G196" s="89"/>
      <c r="H196" s="139"/>
      <c r="I196" s="28"/>
      <c r="J196" s="240"/>
      <c r="K196" s="240"/>
    </row>
    <row r="197" spans="1:11">
      <c r="A197" s="134">
        <v>126</v>
      </c>
      <c r="B197" s="56" t="s">
        <v>957</v>
      </c>
      <c r="C197" s="8"/>
      <c r="D197" s="21" t="str">
        <f>IFERROR(VLOOKUP(B197,Product!$B:$H,6,FALSE),"")</f>
        <v/>
      </c>
      <c r="E197" s="139"/>
      <c r="F197" s="28"/>
      <c r="G197" s="89"/>
      <c r="H197" s="139"/>
      <c r="I197" s="28"/>
      <c r="J197" s="240"/>
      <c r="K197" s="240"/>
    </row>
    <row r="198" spans="1:11">
      <c r="A198" s="134">
        <v>127</v>
      </c>
      <c r="B198" s="56" t="s">
        <v>957</v>
      </c>
      <c r="C198" s="8"/>
      <c r="D198" s="21" t="str">
        <f>IFERROR(VLOOKUP(B198,Product!$B:$H,6,FALSE),"")</f>
        <v/>
      </c>
      <c r="E198" s="139"/>
      <c r="F198" s="28"/>
      <c r="G198" s="89"/>
      <c r="H198" s="139"/>
      <c r="I198" s="28"/>
      <c r="J198" s="240"/>
      <c r="K198" s="240"/>
    </row>
    <row r="199" spans="1:11">
      <c r="A199" s="134">
        <v>128</v>
      </c>
      <c r="B199" s="56" t="s">
        <v>957</v>
      </c>
      <c r="C199" s="8"/>
      <c r="D199" s="21" t="str">
        <f>IFERROR(VLOOKUP(B199,Product!$B:$H,6,FALSE),"")</f>
        <v/>
      </c>
      <c r="E199" s="139"/>
      <c r="F199" s="28"/>
      <c r="G199" s="89"/>
      <c r="H199" s="139"/>
      <c r="I199" s="28"/>
      <c r="J199" s="240"/>
      <c r="K199" s="240"/>
    </row>
    <row r="200" spans="1:11">
      <c r="A200" s="134">
        <v>129</v>
      </c>
      <c r="B200" s="56" t="s">
        <v>957</v>
      </c>
      <c r="C200" s="8"/>
      <c r="D200" s="21" t="str">
        <f>IFERROR(VLOOKUP(B200,Product!$B:$H,6,FALSE),"")</f>
        <v/>
      </c>
      <c r="E200" s="139"/>
      <c r="F200" s="28"/>
      <c r="G200" s="89"/>
      <c r="H200" s="139"/>
      <c r="I200" s="28"/>
      <c r="J200" s="240"/>
      <c r="K200" s="240"/>
    </row>
    <row r="201" spans="1:11">
      <c r="A201" s="134">
        <v>130</v>
      </c>
      <c r="B201" s="56" t="s">
        <v>957</v>
      </c>
      <c r="C201" s="8"/>
      <c r="D201" s="21" t="str">
        <f>IFERROR(VLOOKUP(B201,Product!$B:$H,6,FALSE),"")</f>
        <v/>
      </c>
      <c r="E201" s="139"/>
      <c r="F201" s="28"/>
      <c r="G201" s="89"/>
      <c r="H201" s="139"/>
      <c r="I201" s="28"/>
      <c r="J201" s="240"/>
      <c r="K201" s="240"/>
    </row>
    <row r="202" spans="1:11">
      <c r="A202" s="134">
        <v>131</v>
      </c>
      <c r="B202" s="56" t="s">
        <v>957</v>
      </c>
      <c r="C202" s="8"/>
      <c r="D202" s="21" t="str">
        <f>IFERROR(VLOOKUP(B202,Product!$B:$H,6,FALSE),"")</f>
        <v/>
      </c>
      <c r="E202" s="139"/>
      <c r="F202" s="28"/>
      <c r="G202" s="89"/>
      <c r="H202" s="139"/>
      <c r="I202" s="28"/>
      <c r="J202" s="240"/>
      <c r="K202" s="240"/>
    </row>
    <row r="203" spans="1:11">
      <c r="A203" s="134">
        <v>132</v>
      </c>
      <c r="B203" s="56" t="s">
        <v>957</v>
      </c>
      <c r="C203" s="8"/>
      <c r="D203" s="21" t="str">
        <f>IFERROR(VLOOKUP(B203,Product!$B:$H,6,FALSE),"")</f>
        <v/>
      </c>
      <c r="E203" s="139"/>
      <c r="F203" s="28"/>
      <c r="G203" s="89"/>
      <c r="H203" s="139"/>
      <c r="I203" s="28"/>
      <c r="J203" s="240"/>
      <c r="K203" s="240"/>
    </row>
    <row r="204" spans="1:11">
      <c r="A204" s="134">
        <v>133</v>
      </c>
      <c r="B204" s="56" t="s">
        <v>957</v>
      </c>
      <c r="C204" s="8"/>
      <c r="D204" s="21" t="str">
        <f>IFERROR(VLOOKUP(B204,Product!$B:$H,6,FALSE),"")</f>
        <v/>
      </c>
      <c r="E204" s="139"/>
      <c r="F204" s="28"/>
      <c r="G204" s="89"/>
      <c r="H204" s="139"/>
      <c r="I204" s="28"/>
      <c r="J204" s="240"/>
      <c r="K204" s="240"/>
    </row>
    <row r="205" spans="1:11">
      <c r="A205" s="134">
        <v>134</v>
      </c>
      <c r="B205" s="56" t="s">
        <v>957</v>
      </c>
      <c r="C205" s="8"/>
      <c r="D205" s="21" t="str">
        <f>IFERROR(VLOOKUP(B205,Product!$B:$H,6,FALSE),"")</f>
        <v/>
      </c>
      <c r="E205" s="139"/>
      <c r="F205" s="28"/>
      <c r="G205" s="89"/>
      <c r="H205" s="139"/>
      <c r="I205" s="28"/>
      <c r="J205" s="240"/>
      <c r="K205" s="240"/>
    </row>
    <row r="206" spans="1:11">
      <c r="A206" s="134">
        <v>135</v>
      </c>
      <c r="B206" s="56" t="s">
        <v>957</v>
      </c>
      <c r="C206" s="8"/>
      <c r="D206" s="21" t="str">
        <f>IFERROR(VLOOKUP(B206,Product!$B:$H,6,FALSE),"")</f>
        <v/>
      </c>
      <c r="E206" s="139"/>
      <c r="F206" s="28"/>
      <c r="G206" s="89"/>
      <c r="H206" s="139"/>
      <c r="I206" s="28"/>
      <c r="J206" s="240"/>
      <c r="K206" s="240"/>
    </row>
    <row r="207" spans="1:11">
      <c r="A207" s="134">
        <v>136</v>
      </c>
      <c r="B207" s="56" t="s">
        <v>957</v>
      </c>
      <c r="C207" s="8"/>
      <c r="D207" s="21" t="str">
        <f>IFERROR(VLOOKUP(B207,Product!$B:$H,6,FALSE),"")</f>
        <v/>
      </c>
      <c r="E207" s="139"/>
      <c r="F207" s="28"/>
      <c r="G207" s="89"/>
      <c r="H207" s="139"/>
      <c r="I207" s="28"/>
      <c r="J207" s="240"/>
      <c r="K207" s="240"/>
    </row>
    <row r="208" spans="1:11">
      <c r="A208" s="134">
        <v>137</v>
      </c>
      <c r="B208" s="56" t="s">
        <v>957</v>
      </c>
      <c r="C208" s="8"/>
      <c r="D208" s="21" t="str">
        <f>IFERROR(VLOOKUP(B208,Product!$B:$H,6,FALSE),"")</f>
        <v/>
      </c>
      <c r="E208" s="139"/>
      <c r="F208" s="28"/>
      <c r="G208" s="89"/>
      <c r="H208" s="139"/>
      <c r="I208" s="28"/>
      <c r="J208" s="240"/>
      <c r="K208" s="240"/>
    </row>
    <row r="209" spans="1:11">
      <c r="A209" s="134">
        <v>138</v>
      </c>
      <c r="B209" s="56" t="s">
        <v>957</v>
      </c>
      <c r="C209" s="8"/>
      <c r="D209" s="21" t="str">
        <f>IFERROR(VLOOKUP(B209,Product!$B:$H,6,FALSE),"")</f>
        <v/>
      </c>
      <c r="E209" s="139"/>
      <c r="F209" s="28"/>
      <c r="G209" s="89"/>
      <c r="H209" s="139"/>
      <c r="I209" s="28"/>
      <c r="J209" s="240"/>
      <c r="K209" s="240"/>
    </row>
    <row r="210" spans="1:11">
      <c r="A210" s="134">
        <v>139</v>
      </c>
      <c r="B210" s="56" t="s">
        <v>957</v>
      </c>
      <c r="C210" s="8"/>
      <c r="D210" s="21" t="str">
        <f>IFERROR(VLOOKUP(B210,Product!$B:$H,6,FALSE),"")</f>
        <v/>
      </c>
      <c r="E210" s="139"/>
      <c r="F210" s="28"/>
      <c r="G210" s="89"/>
      <c r="H210" s="139"/>
      <c r="I210" s="28"/>
      <c r="J210" s="240"/>
      <c r="K210" s="240"/>
    </row>
    <row r="211" spans="1:11">
      <c r="A211" s="134">
        <v>140</v>
      </c>
      <c r="B211" s="56" t="s">
        <v>957</v>
      </c>
      <c r="C211" s="8"/>
      <c r="D211" s="21" t="str">
        <f>IFERROR(VLOOKUP(B211,Product!$B:$H,6,FALSE),"")</f>
        <v/>
      </c>
      <c r="E211" s="139"/>
      <c r="F211" s="28"/>
      <c r="G211" s="89"/>
      <c r="H211" s="139"/>
      <c r="I211" s="28"/>
      <c r="J211" s="240"/>
      <c r="K211" s="240"/>
    </row>
    <row r="212" spans="1:11">
      <c r="A212" s="134">
        <v>141</v>
      </c>
      <c r="B212" s="56" t="s">
        <v>957</v>
      </c>
      <c r="C212" s="8"/>
      <c r="D212" s="21" t="str">
        <f>IFERROR(VLOOKUP(B212,Product!$B:$H,6,FALSE),"")</f>
        <v/>
      </c>
      <c r="E212" s="139"/>
      <c r="F212" s="28"/>
      <c r="G212" s="89"/>
      <c r="H212" s="139"/>
      <c r="I212" s="28"/>
      <c r="J212" s="240"/>
      <c r="K212" s="240"/>
    </row>
    <row r="213" spans="1:11">
      <c r="A213" s="134">
        <v>142</v>
      </c>
      <c r="B213" s="56" t="s">
        <v>957</v>
      </c>
      <c r="C213" s="8"/>
      <c r="D213" s="21" t="str">
        <f>IFERROR(VLOOKUP(B213,Product!$B:$H,6,FALSE),"")</f>
        <v/>
      </c>
      <c r="E213" s="139"/>
      <c r="F213" s="28"/>
      <c r="G213" s="89"/>
      <c r="H213" s="139"/>
      <c r="I213" s="28"/>
      <c r="J213" s="240"/>
      <c r="K213" s="240"/>
    </row>
    <row r="214" spans="1:11">
      <c r="A214" s="134">
        <v>143</v>
      </c>
      <c r="B214" s="56" t="s">
        <v>957</v>
      </c>
      <c r="C214" s="8"/>
      <c r="D214" s="21" t="str">
        <f>IFERROR(VLOOKUP(B214,Product!$B:$H,6,FALSE),"")</f>
        <v/>
      </c>
      <c r="E214" s="139"/>
      <c r="F214" s="28"/>
      <c r="G214" s="89"/>
      <c r="H214" s="139"/>
      <c r="I214" s="28"/>
      <c r="J214" s="240"/>
      <c r="K214" s="240"/>
    </row>
    <row r="215" spans="1:11">
      <c r="A215" s="134">
        <v>144</v>
      </c>
      <c r="B215" s="56" t="s">
        <v>957</v>
      </c>
      <c r="C215" s="8"/>
      <c r="D215" s="21" t="str">
        <f>IFERROR(VLOOKUP(B215,Product!$B:$H,6,FALSE),"")</f>
        <v/>
      </c>
      <c r="E215" s="139"/>
      <c r="F215" s="28"/>
      <c r="G215" s="89"/>
      <c r="H215" s="139"/>
      <c r="I215" s="28"/>
      <c r="J215" s="240"/>
      <c r="K215" s="240"/>
    </row>
    <row r="216" spans="1:11">
      <c r="A216" s="134">
        <v>145</v>
      </c>
      <c r="B216" s="56" t="s">
        <v>957</v>
      </c>
      <c r="C216" s="8"/>
      <c r="D216" s="21" t="str">
        <f>IFERROR(VLOOKUP(B216,Product!$B:$H,6,FALSE),"")</f>
        <v/>
      </c>
      <c r="E216" s="139"/>
      <c r="F216" s="28"/>
      <c r="G216" s="89"/>
      <c r="H216" s="139"/>
      <c r="I216" s="28"/>
      <c r="J216" s="240"/>
      <c r="K216" s="240"/>
    </row>
    <row r="217" spans="1:11">
      <c r="A217" s="134">
        <v>146</v>
      </c>
      <c r="B217" s="56" t="s">
        <v>957</v>
      </c>
      <c r="C217" s="8"/>
      <c r="D217" s="21" t="str">
        <f>IFERROR(VLOOKUP(B217,Product!$B:$H,6,FALSE),"")</f>
        <v/>
      </c>
      <c r="E217" s="139"/>
      <c r="F217" s="28"/>
      <c r="G217" s="89"/>
      <c r="H217" s="139"/>
      <c r="I217" s="28"/>
      <c r="J217" s="240"/>
      <c r="K217" s="240"/>
    </row>
    <row r="218" spans="1:11">
      <c r="A218" s="134">
        <v>147</v>
      </c>
      <c r="B218" s="56" t="s">
        <v>957</v>
      </c>
      <c r="C218" s="8"/>
      <c r="D218" s="21" t="str">
        <f>IFERROR(VLOOKUP(B218,Product!$B:$H,6,FALSE),"")</f>
        <v/>
      </c>
      <c r="E218" s="139"/>
      <c r="F218" s="28"/>
      <c r="G218" s="89"/>
      <c r="H218" s="139"/>
      <c r="I218" s="28"/>
      <c r="J218" s="240"/>
      <c r="K218" s="240"/>
    </row>
    <row r="219" spans="1:11">
      <c r="A219" s="134">
        <v>148</v>
      </c>
      <c r="B219" s="56" t="s">
        <v>957</v>
      </c>
      <c r="C219" s="8"/>
      <c r="D219" s="21" t="str">
        <f>IFERROR(VLOOKUP(B219,Product!$B:$H,6,FALSE),"")</f>
        <v/>
      </c>
      <c r="E219" s="139"/>
      <c r="F219" s="28"/>
      <c r="G219" s="89"/>
      <c r="H219" s="139"/>
      <c r="I219" s="28"/>
      <c r="J219" s="240"/>
      <c r="K219" s="240"/>
    </row>
    <row r="220" spans="1:11">
      <c r="A220" s="134">
        <v>149</v>
      </c>
      <c r="B220" s="56" t="s">
        <v>957</v>
      </c>
      <c r="C220" s="8"/>
      <c r="D220" s="21" t="str">
        <f>IFERROR(VLOOKUP(B220,Product!$B:$H,6,FALSE),"")</f>
        <v/>
      </c>
      <c r="E220" s="139"/>
      <c r="F220" s="28"/>
      <c r="G220" s="89"/>
      <c r="H220" s="139"/>
      <c r="I220" s="28"/>
      <c r="J220" s="240"/>
      <c r="K220" s="240"/>
    </row>
    <row r="221" spans="1:11">
      <c r="A221" s="134">
        <v>150</v>
      </c>
      <c r="B221" s="56" t="s">
        <v>957</v>
      </c>
      <c r="C221" s="8"/>
      <c r="D221" s="21" t="str">
        <f>IFERROR(VLOOKUP(B221,Product!$B:$H,6,FALSE),"")</f>
        <v/>
      </c>
      <c r="E221" s="139"/>
      <c r="F221" s="28"/>
      <c r="G221" s="89"/>
      <c r="H221" s="139"/>
      <c r="I221" s="28"/>
      <c r="J221" s="240"/>
      <c r="K221" s="240"/>
    </row>
    <row r="222" spans="1:11">
      <c r="A222" s="134">
        <v>151</v>
      </c>
      <c r="B222" s="56" t="s">
        <v>957</v>
      </c>
      <c r="C222" s="8"/>
      <c r="D222" s="21" t="str">
        <f>IFERROR(VLOOKUP(B222,Product!$B:$H,6,FALSE),"")</f>
        <v/>
      </c>
      <c r="E222" s="139"/>
      <c r="F222" s="28"/>
      <c r="G222" s="89"/>
      <c r="H222" s="139"/>
      <c r="I222" s="28"/>
      <c r="J222" s="240"/>
      <c r="K222" s="240"/>
    </row>
    <row r="223" spans="1:11">
      <c r="A223" s="134">
        <v>152</v>
      </c>
      <c r="B223" s="56" t="s">
        <v>957</v>
      </c>
      <c r="C223" s="8"/>
      <c r="D223" s="21" t="str">
        <f>IFERROR(VLOOKUP(B223,Product!$B:$H,6,FALSE),"")</f>
        <v/>
      </c>
      <c r="E223" s="139"/>
      <c r="F223" s="28"/>
      <c r="G223" s="89"/>
      <c r="H223" s="139"/>
      <c r="I223" s="28"/>
      <c r="J223" s="240"/>
      <c r="K223" s="240"/>
    </row>
    <row r="224" spans="1:11">
      <c r="A224" s="134">
        <v>153</v>
      </c>
      <c r="B224" s="56" t="s">
        <v>957</v>
      </c>
      <c r="C224" s="8"/>
      <c r="D224" s="21" t="str">
        <f>IFERROR(VLOOKUP(B224,Product!$B:$H,6,FALSE),"")</f>
        <v/>
      </c>
      <c r="E224" s="139"/>
      <c r="F224" s="28"/>
      <c r="G224" s="89"/>
      <c r="H224" s="139"/>
      <c r="I224" s="28"/>
      <c r="J224" s="240"/>
      <c r="K224" s="240"/>
    </row>
    <row r="225" spans="1:11">
      <c r="A225" s="134">
        <v>154</v>
      </c>
      <c r="B225" s="56" t="s">
        <v>957</v>
      </c>
      <c r="C225" s="8"/>
      <c r="D225" s="21" t="str">
        <f>IFERROR(VLOOKUP(B225,Product!$B:$H,6,FALSE),"")</f>
        <v/>
      </c>
      <c r="E225" s="139"/>
      <c r="F225" s="28"/>
      <c r="G225" s="89"/>
      <c r="H225" s="139"/>
      <c r="I225" s="28"/>
      <c r="J225" s="240"/>
      <c r="K225" s="240"/>
    </row>
    <row r="226" spans="1:11">
      <c r="A226" s="134">
        <v>155</v>
      </c>
      <c r="B226" s="56" t="s">
        <v>957</v>
      </c>
      <c r="C226" s="8"/>
      <c r="D226" s="21" t="str">
        <f>IFERROR(VLOOKUP(B226,Product!$B:$H,6,FALSE),"")</f>
        <v/>
      </c>
      <c r="E226" s="139"/>
      <c r="F226" s="28"/>
      <c r="G226" s="89"/>
      <c r="H226" s="139"/>
      <c r="I226" s="28"/>
      <c r="J226" s="240"/>
      <c r="K226" s="240"/>
    </row>
    <row r="227" spans="1:11">
      <c r="A227" s="134">
        <v>156</v>
      </c>
      <c r="B227" s="56" t="s">
        <v>957</v>
      </c>
      <c r="C227" s="8"/>
      <c r="D227" s="21" t="str">
        <f>IFERROR(VLOOKUP(B227,Product!$B:$H,6,FALSE),"")</f>
        <v/>
      </c>
      <c r="E227" s="139"/>
      <c r="F227" s="28"/>
      <c r="G227" s="89"/>
      <c r="H227" s="139"/>
      <c r="I227" s="28"/>
      <c r="J227" s="240"/>
      <c r="K227" s="240"/>
    </row>
    <row r="228" spans="1:11">
      <c r="A228" s="134">
        <v>157</v>
      </c>
      <c r="B228" s="56" t="s">
        <v>957</v>
      </c>
      <c r="C228" s="8"/>
      <c r="D228" s="21" t="str">
        <f>IFERROR(VLOOKUP(B228,Product!$B:$H,6,FALSE),"")</f>
        <v/>
      </c>
      <c r="E228" s="139"/>
      <c r="F228" s="28"/>
      <c r="G228" s="89"/>
      <c r="H228" s="139"/>
      <c r="I228" s="28"/>
      <c r="J228" s="240"/>
      <c r="K228" s="240"/>
    </row>
    <row r="229" spans="1:11">
      <c r="A229" s="134">
        <v>158</v>
      </c>
      <c r="B229" s="56" t="s">
        <v>957</v>
      </c>
      <c r="C229" s="8"/>
      <c r="D229" s="21" t="str">
        <f>IFERROR(VLOOKUP(B229,Product!$B:$H,6,FALSE),"")</f>
        <v/>
      </c>
      <c r="E229" s="139"/>
      <c r="F229" s="28"/>
      <c r="G229" s="89"/>
      <c r="H229" s="139"/>
      <c r="I229" s="28"/>
      <c r="J229" s="240"/>
      <c r="K229" s="240"/>
    </row>
    <row r="230" spans="1:11">
      <c r="A230" s="134">
        <v>159</v>
      </c>
      <c r="B230" s="56" t="s">
        <v>957</v>
      </c>
      <c r="C230" s="8"/>
      <c r="D230" s="21" t="str">
        <f>IFERROR(VLOOKUP(B230,Product!$B:$H,6,FALSE),"")</f>
        <v/>
      </c>
      <c r="E230" s="139"/>
      <c r="F230" s="28"/>
      <c r="G230" s="89"/>
      <c r="H230" s="139"/>
      <c r="I230" s="28"/>
      <c r="J230" s="240"/>
      <c r="K230" s="240"/>
    </row>
    <row r="231" spans="1:11">
      <c r="A231" s="134">
        <v>160</v>
      </c>
      <c r="B231" s="56" t="s">
        <v>957</v>
      </c>
      <c r="C231" s="8"/>
      <c r="D231" s="21" t="str">
        <f>IFERROR(VLOOKUP(B231,Product!$B:$H,6,FALSE),"")</f>
        <v/>
      </c>
      <c r="E231" s="139"/>
      <c r="F231" s="28"/>
      <c r="G231" s="89"/>
      <c r="H231" s="139"/>
      <c r="I231" s="28"/>
      <c r="J231" s="240"/>
      <c r="K231" s="240"/>
    </row>
    <row r="232" spans="1:11">
      <c r="A232" s="134">
        <v>161</v>
      </c>
      <c r="B232" s="56" t="s">
        <v>957</v>
      </c>
      <c r="C232" s="8"/>
      <c r="D232" s="21" t="str">
        <f>IFERROR(VLOOKUP(B232,Product!$B:$H,6,FALSE),"")</f>
        <v/>
      </c>
      <c r="E232" s="139"/>
      <c r="F232" s="28"/>
      <c r="G232" s="89"/>
      <c r="H232" s="139"/>
      <c r="I232" s="28"/>
      <c r="J232" s="240"/>
      <c r="K232" s="240"/>
    </row>
    <row r="233" spans="1:11">
      <c r="A233" s="134">
        <v>162</v>
      </c>
      <c r="B233" s="56" t="s">
        <v>957</v>
      </c>
      <c r="C233" s="8"/>
      <c r="D233" s="21" t="str">
        <f>IFERROR(VLOOKUP(B233,Product!$B:$H,6,FALSE),"")</f>
        <v/>
      </c>
      <c r="E233" s="139"/>
      <c r="F233" s="28"/>
      <c r="G233" s="89"/>
      <c r="H233" s="139"/>
      <c r="I233" s="28"/>
      <c r="J233" s="240"/>
      <c r="K233" s="240"/>
    </row>
    <row r="234" spans="1:11">
      <c r="A234" s="134">
        <v>163</v>
      </c>
      <c r="B234" s="56" t="s">
        <v>957</v>
      </c>
      <c r="C234" s="8"/>
      <c r="D234" s="21" t="str">
        <f>IFERROR(VLOOKUP(B234,Product!$B:$H,6,FALSE),"")</f>
        <v/>
      </c>
      <c r="E234" s="139"/>
      <c r="F234" s="28"/>
      <c r="G234" s="89"/>
      <c r="H234" s="139"/>
      <c r="I234" s="28"/>
      <c r="J234" s="240"/>
      <c r="K234" s="240"/>
    </row>
    <row r="235" spans="1:11">
      <c r="A235" s="134">
        <v>164</v>
      </c>
      <c r="B235" s="56" t="s">
        <v>957</v>
      </c>
      <c r="C235" s="8"/>
      <c r="D235" s="21" t="str">
        <f>IFERROR(VLOOKUP(B235,Product!$B:$H,6,FALSE),"")</f>
        <v/>
      </c>
      <c r="E235" s="139"/>
      <c r="F235" s="28"/>
      <c r="G235" s="89"/>
      <c r="H235" s="139"/>
      <c r="I235" s="28"/>
      <c r="J235" s="240"/>
      <c r="K235" s="240"/>
    </row>
    <row r="236" spans="1:11">
      <c r="A236" s="134">
        <v>165</v>
      </c>
      <c r="B236" s="56" t="s">
        <v>957</v>
      </c>
      <c r="C236" s="8"/>
      <c r="D236" s="21" t="str">
        <f>IFERROR(VLOOKUP(B236,Product!$B:$H,6,FALSE),"")</f>
        <v/>
      </c>
      <c r="E236" s="139"/>
      <c r="F236" s="28"/>
      <c r="G236" s="89"/>
      <c r="H236" s="139"/>
      <c r="I236" s="28"/>
      <c r="J236" s="240"/>
      <c r="K236" s="240"/>
    </row>
    <row r="237" spans="1:11">
      <c r="A237" s="134">
        <v>166</v>
      </c>
      <c r="B237" s="56" t="s">
        <v>957</v>
      </c>
      <c r="C237" s="8"/>
      <c r="D237" s="21" t="str">
        <f>IFERROR(VLOOKUP(B237,Product!$B:$H,6,FALSE),"")</f>
        <v/>
      </c>
      <c r="E237" s="139"/>
      <c r="F237" s="28"/>
      <c r="G237" s="89"/>
      <c r="H237" s="139"/>
      <c r="I237" s="28"/>
      <c r="J237" s="240"/>
      <c r="K237" s="240"/>
    </row>
    <row r="238" spans="1:11">
      <c r="A238" s="134">
        <v>167</v>
      </c>
      <c r="B238" s="56" t="s">
        <v>957</v>
      </c>
      <c r="C238" s="8"/>
      <c r="D238" s="21" t="str">
        <f>IFERROR(VLOOKUP(B238,Product!$B:$H,6,FALSE),"")</f>
        <v/>
      </c>
      <c r="E238" s="139"/>
      <c r="F238" s="28"/>
      <c r="G238" s="89"/>
      <c r="H238" s="139"/>
      <c r="I238" s="28"/>
      <c r="J238" s="240"/>
      <c r="K238" s="240"/>
    </row>
    <row r="239" spans="1:11">
      <c r="A239" s="134">
        <v>168</v>
      </c>
      <c r="B239" s="56" t="s">
        <v>957</v>
      </c>
      <c r="C239" s="8"/>
      <c r="D239" s="21" t="str">
        <f>IFERROR(VLOOKUP(B239,Product!$B:$H,6,FALSE),"")</f>
        <v/>
      </c>
      <c r="E239" s="139"/>
      <c r="F239" s="28"/>
      <c r="G239" s="89"/>
      <c r="H239" s="139"/>
      <c r="I239" s="28"/>
      <c r="J239" s="240"/>
      <c r="K239" s="240"/>
    </row>
    <row r="240" spans="1:11">
      <c r="A240" s="134">
        <v>169</v>
      </c>
      <c r="B240" s="56" t="s">
        <v>957</v>
      </c>
      <c r="C240" s="8"/>
      <c r="D240" s="21" t="str">
        <f>IFERROR(VLOOKUP(B240,Product!$B:$H,6,FALSE),"")</f>
        <v/>
      </c>
      <c r="E240" s="139"/>
      <c r="F240" s="28"/>
      <c r="G240" s="89"/>
      <c r="H240" s="139"/>
      <c r="I240" s="28"/>
      <c r="J240" s="240"/>
      <c r="K240" s="240"/>
    </row>
    <row r="241" spans="1:11">
      <c r="A241" s="134">
        <v>170</v>
      </c>
      <c r="B241" s="56" t="s">
        <v>957</v>
      </c>
      <c r="C241" s="8"/>
      <c r="D241" s="21" t="str">
        <f>IFERROR(VLOOKUP(B241,Product!$B:$H,6,FALSE),"")</f>
        <v/>
      </c>
      <c r="E241" s="139"/>
      <c r="F241" s="28"/>
      <c r="G241" s="89"/>
      <c r="H241" s="139"/>
      <c r="I241" s="28"/>
      <c r="J241" s="240"/>
      <c r="K241" s="240"/>
    </row>
    <row r="242" spans="1:11">
      <c r="A242" s="134">
        <v>171</v>
      </c>
      <c r="B242" s="56" t="s">
        <v>957</v>
      </c>
      <c r="C242" s="8"/>
      <c r="D242" s="21" t="str">
        <f>IFERROR(VLOOKUP(B242,Product!$B:$H,6,FALSE),"")</f>
        <v/>
      </c>
      <c r="E242" s="139"/>
      <c r="F242" s="28"/>
      <c r="G242" s="89"/>
      <c r="H242" s="139"/>
      <c r="I242" s="28"/>
      <c r="J242" s="240"/>
      <c r="K242" s="240"/>
    </row>
    <row r="243" spans="1:11">
      <c r="A243" s="134">
        <v>172</v>
      </c>
      <c r="B243" s="56" t="s">
        <v>957</v>
      </c>
      <c r="C243" s="8"/>
      <c r="D243" s="21" t="str">
        <f>IFERROR(VLOOKUP(B243,Product!$B:$H,6,FALSE),"")</f>
        <v/>
      </c>
      <c r="E243" s="139"/>
      <c r="F243" s="28"/>
      <c r="G243" s="89"/>
      <c r="H243" s="139"/>
      <c r="I243" s="28"/>
      <c r="J243" s="240"/>
      <c r="K243" s="240"/>
    </row>
    <row r="244" spans="1:11">
      <c r="A244" s="134">
        <v>173</v>
      </c>
      <c r="B244" s="56" t="s">
        <v>957</v>
      </c>
      <c r="C244" s="8"/>
      <c r="D244" s="21" t="str">
        <f>IFERROR(VLOOKUP(B244,Product!$B:$H,6,FALSE),"")</f>
        <v/>
      </c>
      <c r="E244" s="139"/>
      <c r="F244" s="28"/>
      <c r="G244" s="89"/>
      <c r="H244" s="139"/>
      <c r="I244" s="28"/>
      <c r="J244" s="240"/>
      <c r="K244" s="240"/>
    </row>
    <row r="245" spans="1:11">
      <c r="A245" s="134">
        <v>174</v>
      </c>
      <c r="B245" s="56" t="s">
        <v>957</v>
      </c>
      <c r="C245" s="8"/>
      <c r="D245" s="21" t="str">
        <f>IFERROR(VLOOKUP(B245,Product!$B:$H,6,FALSE),"")</f>
        <v/>
      </c>
      <c r="E245" s="139"/>
      <c r="F245" s="28"/>
      <c r="G245" s="89"/>
      <c r="H245" s="139"/>
      <c r="I245" s="28"/>
      <c r="J245" s="240"/>
      <c r="K245" s="240"/>
    </row>
    <row r="246" spans="1:11">
      <c r="A246" s="134">
        <v>175</v>
      </c>
      <c r="B246" s="56" t="s">
        <v>957</v>
      </c>
      <c r="C246" s="8"/>
      <c r="D246" s="21" t="str">
        <f>IFERROR(VLOOKUP(B246,Product!$B:$H,6,FALSE),"")</f>
        <v/>
      </c>
      <c r="E246" s="139"/>
      <c r="F246" s="28"/>
      <c r="G246" s="89"/>
      <c r="H246" s="139"/>
      <c r="I246" s="28"/>
      <c r="J246" s="240"/>
      <c r="K246" s="240"/>
    </row>
    <row r="247" spans="1:11">
      <c r="A247" s="134">
        <v>176</v>
      </c>
      <c r="B247" s="56" t="s">
        <v>957</v>
      </c>
      <c r="C247" s="8"/>
      <c r="D247" s="21" t="str">
        <f>IFERROR(VLOOKUP(B247,Product!$B:$H,6,FALSE),"")</f>
        <v/>
      </c>
      <c r="E247" s="139"/>
      <c r="F247" s="28"/>
      <c r="G247" s="89"/>
      <c r="H247" s="139"/>
      <c r="I247" s="28"/>
      <c r="J247" s="240"/>
      <c r="K247" s="240"/>
    </row>
    <row r="248" spans="1:11">
      <c r="A248" s="134">
        <v>177</v>
      </c>
      <c r="B248" s="56" t="s">
        <v>957</v>
      </c>
      <c r="C248" s="8"/>
      <c r="D248" s="21" t="str">
        <f>IFERROR(VLOOKUP(B248,Product!$B:$H,6,FALSE),"")</f>
        <v/>
      </c>
      <c r="E248" s="139"/>
      <c r="F248" s="28"/>
      <c r="G248" s="89"/>
      <c r="H248" s="139"/>
      <c r="I248" s="28"/>
      <c r="J248" s="240"/>
      <c r="K248" s="240"/>
    </row>
    <row r="249" spans="1:11">
      <c r="A249" s="134">
        <v>178</v>
      </c>
      <c r="B249" s="56" t="s">
        <v>957</v>
      </c>
      <c r="C249" s="8"/>
      <c r="D249" s="21" t="str">
        <f>IFERROR(VLOOKUP(B249,Product!$B:$H,6,FALSE),"")</f>
        <v/>
      </c>
      <c r="E249" s="139"/>
      <c r="F249" s="28"/>
      <c r="G249" s="89"/>
      <c r="H249" s="139"/>
      <c r="I249" s="28"/>
      <c r="J249" s="240"/>
      <c r="K249" s="240"/>
    </row>
    <row r="250" spans="1:11">
      <c r="A250" s="134">
        <v>179</v>
      </c>
      <c r="B250" s="56" t="s">
        <v>957</v>
      </c>
      <c r="C250" s="8"/>
      <c r="D250" s="21" t="str">
        <f>IFERROR(VLOOKUP(B250,Product!$B:$H,6,FALSE),"")</f>
        <v/>
      </c>
      <c r="E250" s="139"/>
      <c r="F250" s="28"/>
      <c r="G250" s="89"/>
      <c r="H250" s="139"/>
      <c r="I250" s="28"/>
      <c r="J250" s="240"/>
      <c r="K250" s="240"/>
    </row>
    <row r="251" spans="1:11">
      <c r="A251" s="134">
        <v>180</v>
      </c>
      <c r="B251" s="56" t="s">
        <v>957</v>
      </c>
      <c r="C251" s="8"/>
      <c r="D251" s="21" t="str">
        <f>IFERROR(VLOOKUP(B251,Product!$B:$H,6,FALSE),"")</f>
        <v/>
      </c>
      <c r="E251" s="139"/>
      <c r="F251" s="28"/>
      <c r="G251" s="89"/>
      <c r="H251" s="139"/>
      <c r="I251" s="28"/>
      <c r="J251" s="240"/>
      <c r="K251" s="240"/>
    </row>
    <row r="252" spans="1:11">
      <c r="A252" s="134">
        <v>181</v>
      </c>
      <c r="B252" s="56" t="s">
        <v>957</v>
      </c>
      <c r="C252" s="8"/>
      <c r="D252" s="21" t="str">
        <f>IFERROR(VLOOKUP(B252,Product!$B:$H,6,FALSE),"")</f>
        <v/>
      </c>
      <c r="E252" s="139"/>
      <c r="F252" s="28"/>
      <c r="G252" s="89"/>
      <c r="H252" s="139"/>
      <c r="I252" s="28"/>
      <c r="J252" s="240"/>
      <c r="K252" s="240"/>
    </row>
    <row r="253" spans="1:11">
      <c r="A253" s="134">
        <v>182</v>
      </c>
      <c r="B253" s="56" t="s">
        <v>957</v>
      </c>
      <c r="C253" s="8"/>
      <c r="D253" s="21" t="str">
        <f>IFERROR(VLOOKUP(B253,Product!$B:$H,6,FALSE),"")</f>
        <v/>
      </c>
      <c r="E253" s="139"/>
      <c r="F253" s="28"/>
      <c r="G253" s="89"/>
      <c r="H253" s="139"/>
      <c r="I253" s="28"/>
      <c r="J253" s="240"/>
      <c r="K253" s="240"/>
    </row>
    <row r="254" spans="1:11">
      <c r="A254" s="134">
        <v>183</v>
      </c>
      <c r="B254" s="56" t="s">
        <v>957</v>
      </c>
      <c r="C254" s="8"/>
      <c r="D254" s="21" t="str">
        <f>IFERROR(VLOOKUP(B254,Product!$B:$H,6,FALSE),"")</f>
        <v/>
      </c>
      <c r="E254" s="139"/>
      <c r="F254" s="28"/>
      <c r="G254" s="89"/>
      <c r="H254" s="139"/>
      <c r="I254" s="28"/>
      <c r="J254" s="240"/>
      <c r="K254" s="240"/>
    </row>
    <row r="255" spans="1:11">
      <c r="A255" s="134">
        <v>184</v>
      </c>
      <c r="B255" s="56" t="s">
        <v>957</v>
      </c>
      <c r="C255" s="8"/>
      <c r="D255" s="21" t="str">
        <f>IFERROR(VLOOKUP(B255,Product!$B:$H,6,FALSE),"")</f>
        <v/>
      </c>
      <c r="E255" s="139"/>
      <c r="F255" s="28"/>
      <c r="G255" s="89"/>
      <c r="H255" s="139"/>
      <c r="I255" s="28"/>
      <c r="J255" s="240"/>
      <c r="K255" s="240"/>
    </row>
    <row r="256" spans="1:11">
      <c r="A256" s="134">
        <v>185</v>
      </c>
      <c r="B256" s="56" t="s">
        <v>957</v>
      </c>
      <c r="C256" s="8"/>
      <c r="D256" s="21" t="str">
        <f>IFERROR(VLOOKUP(B256,Product!$B:$H,6,FALSE),"")</f>
        <v/>
      </c>
      <c r="E256" s="139"/>
      <c r="F256" s="28"/>
      <c r="G256" s="89"/>
      <c r="H256" s="139"/>
      <c r="I256" s="28"/>
      <c r="J256" s="240"/>
      <c r="K256" s="240"/>
    </row>
    <row r="257" spans="1:11">
      <c r="A257" s="134">
        <v>186</v>
      </c>
      <c r="B257" s="56" t="s">
        <v>957</v>
      </c>
      <c r="C257" s="8"/>
      <c r="D257" s="21" t="str">
        <f>IFERROR(VLOOKUP(B257,Product!$B:$H,6,FALSE),"")</f>
        <v/>
      </c>
      <c r="E257" s="139"/>
      <c r="F257" s="28"/>
      <c r="G257" s="89"/>
      <c r="H257" s="139"/>
      <c r="I257" s="28"/>
      <c r="J257" s="240"/>
      <c r="K257" s="240"/>
    </row>
    <row r="258" spans="1:11">
      <c r="A258" s="134">
        <v>187</v>
      </c>
      <c r="B258" s="56" t="s">
        <v>957</v>
      </c>
      <c r="C258" s="8"/>
      <c r="D258" s="21" t="str">
        <f>IFERROR(VLOOKUP(B258,Product!$B:$H,6,FALSE),"")</f>
        <v/>
      </c>
      <c r="E258" s="139"/>
      <c r="F258" s="28"/>
      <c r="G258" s="89"/>
      <c r="H258" s="139"/>
      <c r="I258" s="28"/>
      <c r="J258" s="240"/>
      <c r="K258" s="240"/>
    </row>
    <row r="259" spans="1:11">
      <c r="A259" s="134">
        <v>188</v>
      </c>
      <c r="B259" s="56" t="s">
        <v>957</v>
      </c>
      <c r="C259" s="8"/>
      <c r="D259" s="21" t="str">
        <f>IFERROR(VLOOKUP(B259,Product!$B:$H,6,FALSE),"")</f>
        <v/>
      </c>
      <c r="E259" s="139"/>
      <c r="F259" s="28"/>
      <c r="G259" s="89"/>
      <c r="H259" s="139"/>
      <c r="I259" s="28"/>
      <c r="J259" s="240"/>
      <c r="K259" s="240"/>
    </row>
    <row r="260" spans="1:11">
      <c r="A260" s="134">
        <v>189</v>
      </c>
      <c r="B260" s="56" t="s">
        <v>957</v>
      </c>
      <c r="C260" s="8"/>
      <c r="D260" s="21" t="str">
        <f>IFERROR(VLOOKUP(B260,Product!$B:$H,6,FALSE),"")</f>
        <v/>
      </c>
      <c r="E260" s="139"/>
      <c r="F260" s="28"/>
      <c r="G260" s="89"/>
      <c r="H260" s="139"/>
      <c r="I260" s="28"/>
      <c r="J260" s="240"/>
      <c r="K260" s="240"/>
    </row>
    <row r="261" spans="1:11">
      <c r="A261" s="134">
        <v>190</v>
      </c>
      <c r="B261" s="56" t="s">
        <v>957</v>
      </c>
      <c r="C261" s="8"/>
      <c r="D261" s="21" t="str">
        <f>IFERROR(VLOOKUP(B261,Product!$B:$H,6,FALSE),"")</f>
        <v/>
      </c>
      <c r="E261" s="139"/>
      <c r="F261" s="28"/>
      <c r="G261" s="89"/>
      <c r="H261" s="139"/>
      <c r="I261" s="28"/>
      <c r="J261" s="240"/>
      <c r="K261" s="240"/>
    </row>
    <row r="262" spans="1:11">
      <c r="A262" s="134">
        <v>191</v>
      </c>
      <c r="B262" s="56" t="s">
        <v>957</v>
      </c>
      <c r="C262" s="8"/>
      <c r="D262" s="21" t="str">
        <f>IFERROR(VLOOKUP(B262,Product!$B:$H,6,FALSE),"")</f>
        <v/>
      </c>
      <c r="E262" s="139"/>
      <c r="F262" s="28"/>
      <c r="G262" s="89"/>
      <c r="H262" s="139"/>
      <c r="I262" s="28"/>
      <c r="J262" s="240"/>
      <c r="K262" s="240"/>
    </row>
    <row r="263" spans="1:11">
      <c r="A263" s="134">
        <v>192</v>
      </c>
      <c r="B263" s="56" t="s">
        <v>957</v>
      </c>
      <c r="C263" s="8"/>
      <c r="D263" s="21" t="str">
        <f>IFERROR(VLOOKUP(B263,Product!$B:$H,6,FALSE),"")</f>
        <v/>
      </c>
      <c r="E263" s="139"/>
      <c r="F263" s="28"/>
      <c r="G263" s="89"/>
      <c r="H263" s="139"/>
      <c r="I263" s="28"/>
      <c r="J263" s="240"/>
      <c r="K263" s="240"/>
    </row>
    <row r="264" spans="1:11">
      <c r="A264" s="134">
        <v>193</v>
      </c>
      <c r="B264" s="56" t="s">
        <v>957</v>
      </c>
      <c r="C264" s="8"/>
      <c r="D264" s="21" t="str">
        <f>IFERROR(VLOOKUP(B264,Product!$B:$H,6,FALSE),"")</f>
        <v/>
      </c>
      <c r="E264" s="139"/>
      <c r="F264" s="28"/>
      <c r="G264" s="89"/>
      <c r="H264" s="139"/>
      <c r="I264" s="28"/>
      <c r="J264" s="240"/>
      <c r="K264" s="240"/>
    </row>
    <row r="265" spans="1:11">
      <c r="A265" s="134">
        <v>194</v>
      </c>
      <c r="B265" s="56" t="s">
        <v>957</v>
      </c>
      <c r="C265" s="8"/>
      <c r="D265" s="21" t="str">
        <f>IFERROR(VLOOKUP(B265,Product!$B:$H,6,FALSE),"")</f>
        <v/>
      </c>
      <c r="E265" s="139"/>
      <c r="F265" s="28"/>
      <c r="G265" s="89"/>
      <c r="H265" s="139"/>
      <c r="I265" s="28"/>
      <c r="J265" s="240"/>
      <c r="K265" s="240"/>
    </row>
    <row r="266" spans="1:11">
      <c r="A266" s="134">
        <v>195</v>
      </c>
      <c r="B266" s="56" t="s">
        <v>957</v>
      </c>
      <c r="C266" s="8"/>
      <c r="D266" s="21" t="str">
        <f>IFERROR(VLOOKUP(B266,Product!$B:$H,6,FALSE),"")</f>
        <v/>
      </c>
      <c r="E266" s="139"/>
      <c r="F266" s="28"/>
      <c r="G266" s="89"/>
      <c r="H266" s="139"/>
      <c r="I266" s="28"/>
      <c r="J266" s="240"/>
      <c r="K266" s="240"/>
    </row>
    <row r="267" spans="1:11">
      <c r="A267" s="134">
        <v>196</v>
      </c>
      <c r="B267" s="56" t="s">
        <v>957</v>
      </c>
      <c r="C267" s="8"/>
      <c r="D267" s="21" t="str">
        <f>IFERROR(VLOOKUP(B267,Product!$B:$H,6,FALSE),"")</f>
        <v/>
      </c>
      <c r="E267" s="139"/>
      <c r="F267" s="28"/>
      <c r="G267" s="89"/>
      <c r="H267" s="139"/>
      <c r="I267" s="28"/>
      <c r="J267" s="240"/>
      <c r="K267" s="240"/>
    </row>
    <row r="268" spans="1:11">
      <c r="A268" s="134">
        <v>197</v>
      </c>
      <c r="B268" s="56" t="s">
        <v>957</v>
      </c>
      <c r="C268" s="8"/>
      <c r="D268" s="21" t="str">
        <f>IFERROR(VLOOKUP(B268,Product!$B:$H,6,FALSE),"")</f>
        <v/>
      </c>
      <c r="E268" s="139"/>
      <c r="F268" s="28"/>
      <c r="G268" s="89"/>
      <c r="H268" s="139"/>
      <c r="I268" s="28"/>
      <c r="J268" s="240"/>
      <c r="K268" s="240"/>
    </row>
    <row r="269" spans="1:11">
      <c r="A269" s="134">
        <v>198</v>
      </c>
      <c r="B269" s="56" t="s">
        <v>957</v>
      </c>
      <c r="C269" s="8"/>
      <c r="D269" s="21" t="str">
        <f>IFERROR(VLOOKUP(B269,Product!$B:$H,6,FALSE),"")</f>
        <v/>
      </c>
      <c r="E269" s="139"/>
      <c r="F269" s="28"/>
      <c r="G269" s="89"/>
      <c r="H269" s="139"/>
      <c r="I269" s="28"/>
      <c r="J269" s="240"/>
      <c r="K269" s="240"/>
    </row>
    <row r="270" spans="1:11">
      <c r="A270" s="134">
        <v>199</v>
      </c>
      <c r="B270" s="56" t="s">
        <v>957</v>
      </c>
      <c r="C270" s="8"/>
      <c r="D270" s="21" t="str">
        <f>IFERROR(VLOOKUP(B270,Product!$B:$H,6,FALSE),"")</f>
        <v/>
      </c>
      <c r="E270" s="139"/>
      <c r="F270" s="28"/>
      <c r="G270" s="89"/>
      <c r="H270" s="139"/>
      <c r="I270" s="28"/>
      <c r="J270" s="240"/>
      <c r="K270" s="240"/>
    </row>
    <row r="271" spans="1:11">
      <c r="A271" s="134">
        <v>200</v>
      </c>
      <c r="B271" s="56" t="s">
        <v>957</v>
      </c>
      <c r="C271" s="8"/>
      <c r="D271" s="21" t="str">
        <f>IFERROR(VLOOKUP(B271,Product!$B:$H,6,FALSE),"")</f>
        <v/>
      </c>
      <c r="E271" s="139"/>
      <c r="F271" s="28"/>
      <c r="G271" s="89"/>
      <c r="H271" s="139"/>
      <c r="I271" s="28"/>
      <c r="J271" s="240"/>
      <c r="K271" s="240"/>
    </row>
    <row r="272" spans="1:11">
      <c r="A272" s="134">
        <v>201</v>
      </c>
      <c r="B272" s="56" t="s">
        <v>957</v>
      </c>
      <c r="C272" s="8"/>
      <c r="D272" s="21" t="str">
        <f>IFERROR(VLOOKUP(B272,Product!$B:$H,6,FALSE),"")</f>
        <v/>
      </c>
      <c r="E272" s="139"/>
      <c r="F272" s="28"/>
      <c r="G272" s="89"/>
      <c r="H272" s="139"/>
      <c r="I272" s="28"/>
      <c r="J272" s="240"/>
      <c r="K272" s="240"/>
    </row>
    <row r="273" spans="1:11">
      <c r="A273" s="134">
        <v>202</v>
      </c>
      <c r="B273" s="56" t="s">
        <v>957</v>
      </c>
      <c r="C273" s="8"/>
      <c r="D273" s="21" t="str">
        <f>IFERROR(VLOOKUP(B273,Product!$B:$H,6,FALSE),"")</f>
        <v/>
      </c>
      <c r="E273" s="139"/>
      <c r="F273" s="28"/>
      <c r="G273" s="89"/>
      <c r="H273" s="139"/>
      <c r="I273" s="28"/>
      <c r="J273" s="240"/>
      <c r="K273" s="240"/>
    </row>
    <row r="274" spans="1:11">
      <c r="A274" s="134">
        <v>203</v>
      </c>
      <c r="B274" s="56" t="s">
        <v>957</v>
      </c>
      <c r="C274" s="8"/>
      <c r="D274" s="21" t="str">
        <f>IFERROR(VLOOKUP(B274,Product!$B:$H,6,FALSE),"")</f>
        <v/>
      </c>
      <c r="E274" s="139"/>
      <c r="F274" s="28"/>
      <c r="G274" s="89"/>
      <c r="H274" s="139"/>
      <c r="I274" s="28"/>
      <c r="J274" s="240"/>
      <c r="K274" s="240"/>
    </row>
    <row r="275" spans="1:11">
      <c r="A275" s="134">
        <v>204</v>
      </c>
      <c r="B275" s="56" t="s">
        <v>957</v>
      </c>
      <c r="C275" s="8"/>
      <c r="D275" s="21" t="str">
        <f>IFERROR(VLOOKUP(B275,Product!$B:$H,6,FALSE),"")</f>
        <v/>
      </c>
      <c r="E275" s="139"/>
      <c r="F275" s="28"/>
      <c r="G275" s="89"/>
      <c r="H275" s="139"/>
      <c r="I275" s="28"/>
      <c r="J275" s="240"/>
      <c r="K275" s="240"/>
    </row>
    <row r="276" spans="1:11">
      <c r="A276" s="134">
        <v>205</v>
      </c>
      <c r="B276" s="56" t="s">
        <v>957</v>
      </c>
      <c r="C276" s="8"/>
      <c r="D276" s="21" t="str">
        <f>IFERROR(VLOOKUP(B276,Product!$B:$H,6,FALSE),"")</f>
        <v/>
      </c>
      <c r="E276" s="139"/>
      <c r="F276" s="28"/>
      <c r="G276" s="89"/>
      <c r="H276" s="139"/>
      <c r="I276" s="28"/>
      <c r="J276" s="240"/>
      <c r="K276" s="240"/>
    </row>
    <row r="277" spans="1:11">
      <c r="A277" s="134">
        <v>206</v>
      </c>
      <c r="B277" s="56" t="s">
        <v>957</v>
      </c>
      <c r="C277" s="8"/>
      <c r="D277" s="21" t="str">
        <f>IFERROR(VLOOKUP(B277,Product!$B:$H,6,FALSE),"")</f>
        <v/>
      </c>
      <c r="E277" s="139"/>
      <c r="F277" s="28"/>
      <c r="G277" s="89"/>
      <c r="H277" s="139"/>
      <c r="I277" s="28"/>
      <c r="J277" s="240"/>
      <c r="K277" s="240"/>
    </row>
    <row r="278" spans="1:11">
      <c r="A278" s="134">
        <v>207</v>
      </c>
      <c r="B278" s="56" t="s">
        <v>957</v>
      </c>
      <c r="C278" s="8"/>
      <c r="D278" s="21" t="str">
        <f>IFERROR(VLOOKUP(B278,Product!$B:$H,6,FALSE),"")</f>
        <v/>
      </c>
      <c r="E278" s="139"/>
      <c r="F278" s="28"/>
      <c r="G278" s="89"/>
      <c r="H278" s="139"/>
      <c r="I278" s="28"/>
      <c r="J278" s="240"/>
      <c r="K278" s="240"/>
    </row>
    <row r="279" spans="1:11">
      <c r="A279" s="134">
        <v>208</v>
      </c>
      <c r="B279" s="56" t="s">
        <v>957</v>
      </c>
      <c r="C279" s="8"/>
      <c r="D279" s="21" t="str">
        <f>IFERROR(VLOOKUP(B279,Product!$B:$H,6,FALSE),"")</f>
        <v/>
      </c>
      <c r="E279" s="139"/>
      <c r="F279" s="28"/>
      <c r="G279" s="89"/>
      <c r="H279" s="139"/>
      <c r="I279" s="28"/>
      <c r="J279" s="240"/>
      <c r="K279" s="240"/>
    </row>
    <row r="280" spans="1:11">
      <c r="A280" s="134">
        <v>209</v>
      </c>
      <c r="B280" s="56" t="s">
        <v>957</v>
      </c>
      <c r="C280" s="8"/>
      <c r="D280" s="21" t="str">
        <f>IFERROR(VLOOKUP(B280,Product!$B:$H,6,FALSE),"")</f>
        <v/>
      </c>
      <c r="E280" s="139"/>
      <c r="F280" s="28"/>
      <c r="G280" s="89"/>
      <c r="H280" s="139"/>
      <c r="I280" s="28"/>
      <c r="J280" s="240"/>
      <c r="K280" s="240"/>
    </row>
    <row r="281" spans="1:11">
      <c r="A281" s="134">
        <v>210</v>
      </c>
      <c r="B281" s="56" t="s">
        <v>957</v>
      </c>
      <c r="C281" s="8"/>
      <c r="D281" s="21" t="str">
        <f>IFERROR(VLOOKUP(B281,Product!$B:$H,6,FALSE),"")</f>
        <v/>
      </c>
      <c r="E281" s="139"/>
      <c r="F281" s="28"/>
      <c r="G281" s="89"/>
      <c r="H281" s="139"/>
      <c r="I281" s="28"/>
      <c r="J281" s="240"/>
      <c r="K281" s="240"/>
    </row>
    <row r="282" spans="1:11">
      <c r="A282" s="134">
        <v>211</v>
      </c>
      <c r="B282" s="56" t="s">
        <v>957</v>
      </c>
      <c r="C282" s="8"/>
      <c r="D282" s="21" t="str">
        <f>IFERROR(VLOOKUP(B282,Product!$B:$H,6,FALSE),"")</f>
        <v/>
      </c>
      <c r="E282" s="139"/>
      <c r="F282" s="28"/>
      <c r="G282" s="89"/>
      <c r="H282" s="139"/>
      <c r="I282" s="28"/>
      <c r="J282" s="240"/>
      <c r="K282" s="240"/>
    </row>
    <row r="283" spans="1:11">
      <c r="A283" s="134">
        <v>212</v>
      </c>
      <c r="B283" s="56" t="s">
        <v>957</v>
      </c>
      <c r="C283" s="8"/>
      <c r="D283" s="21" t="str">
        <f>IFERROR(VLOOKUP(B283,Product!$B:$H,6,FALSE),"")</f>
        <v/>
      </c>
      <c r="E283" s="139"/>
      <c r="F283" s="28"/>
      <c r="G283" s="89"/>
      <c r="H283" s="139"/>
      <c r="I283" s="28"/>
      <c r="J283" s="240"/>
      <c r="K283" s="240"/>
    </row>
    <row r="284" spans="1:11">
      <c r="A284" s="134">
        <v>213</v>
      </c>
      <c r="B284" s="56" t="s">
        <v>957</v>
      </c>
      <c r="C284" s="8"/>
      <c r="D284" s="21" t="str">
        <f>IFERROR(VLOOKUP(B284,Product!$B:$H,6,FALSE),"")</f>
        <v/>
      </c>
      <c r="E284" s="139"/>
      <c r="F284" s="28"/>
      <c r="G284" s="89"/>
      <c r="H284" s="139"/>
      <c r="I284" s="28"/>
      <c r="J284" s="240"/>
      <c r="K284" s="240"/>
    </row>
    <row r="285" spans="1:11">
      <c r="A285" s="134">
        <v>214</v>
      </c>
      <c r="B285" s="56" t="s">
        <v>957</v>
      </c>
      <c r="C285" s="8"/>
      <c r="D285" s="21" t="str">
        <f>IFERROR(VLOOKUP(B285,Product!$B:$H,6,FALSE),"")</f>
        <v/>
      </c>
      <c r="E285" s="139"/>
      <c r="F285" s="28"/>
      <c r="G285" s="89"/>
      <c r="H285" s="139"/>
      <c r="I285" s="28"/>
      <c r="J285" s="240"/>
      <c r="K285" s="240"/>
    </row>
    <row r="286" spans="1:11">
      <c r="A286" s="134">
        <v>215</v>
      </c>
      <c r="B286" s="56" t="s">
        <v>957</v>
      </c>
      <c r="C286" s="8"/>
      <c r="D286" s="21" t="str">
        <f>IFERROR(VLOOKUP(B286,Product!$B:$H,6,FALSE),"")</f>
        <v/>
      </c>
      <c r="E286" s="139"/>
      <c r="F286" s="28"/>
      <c r="G286" s="89"/>
      <c r="H286" s="139"/>
      <c r="I286" s="28"/>
      <c r="J286" s="240"/>
      <c r="K286" s="240"/>
    </row>
    <row r="287" spans="1:11">
      <c r="A287" s="134">
        <v>216</v>
      </c>
      <c r="B287" s="56" t="s">
        <v>957</v>
      </c>
      <c r="C287" s="8"/>
      <c r="D287" s="21" t="str">
        <f>IFERROR(VLOOKUP(B287,Product!$B:$H,6,FALSE),"")</f>
        <v/>
      </c>
      <c r="E287" s="139"/>
      <c r="F287" s="28"/>
      <c r="G287" s="89"/>
      <c r="H287" s="139"/>
      <c r="I287" s="28"/>
      <c r="J287" s="240"/>
      <c r="K287" s="240"/>
    </row>
    <row r="288" spans="1:11">
      <c r="A288" s="134">
        <v>217</v>
      </c>
      <c r="B288" s="56" t="s">
        <v>957</v>
      </c>
      <c r="C288" s="8"/>
      <c r="D288" s="21" t="str">
        <f>IFERROR(VLOOKUP(B288,Product!$B:$H,6,FALSE),"")</f>
        <v/>
      </c>
      <c r="E288" s="139"/>
      <c r="F288" s="28"/>
      <c r="G288" s="89"/>
      <c r="H288" s="139"/>
      <c r="I288" s="28"/>
      <c r="J288" s="240"/>
      <c r="K288" s="240"/>
    </row>
    <row r="289" spans="1:11">
      <c r="A289" s="134">
        <v>218</v>
      </c>
      <c r="B289" s="56" t="s">
        <v>957</v>
      </c>
      <c r="C289" s="8"/>
      <c r="D289" s="21" t="str">
        <f>IFERROR(VLOOKUP(B289,Product!$B:$H,6,FALSE),"")</f>
        <v/>
      </c>
      <c r="E289" s="139"/>
      <c r="F289" s="28"/>
      <c r="G289" s="89"/>
      <c r="H289" s="139"/>
      <c r="I289" s="28"/>
      <c r="J289" s="240"/>
      <c r="K289" s="240"/>
    </row>
    <row r="290" spans="1:11">
      <c r="A290" s="134">
        <v>219</v>
      </c>
      <c r="B290" s="56" t="s">
        <v>957</v>
      </c>
      <c r="C290" s="8"/>
      <c r="D290" s="21" t="str">
        <f>IFERROR(VLOOKUP(B290,Product!$B:$H,6,FALSE),"")</f>
        <v/>
      </c>
      <c r="E290" s="139"/>
      <c r="F290" s="28"/>
      <c r="G290" s="89"/>
      <c r="H290" s="139"/>
      <c r="I290" s="28"/>
      <c r="J290" s="240"/>
      <c r="K290" s="240"/>
    </row>
    <row r="291" spans="1:11">
      <c r="A291" s="134">
        <v>220</v>
      </c>
      <c r="B291" s="56" t="s">
        <v>957</v>
      </c>
      <c r="C291" s="8"/>
      <c r="D291" s="21" t="str">
        <f>IFERROR(VLOOKUP(B291,Product!$B:$H,6,FALSE),"")</f>
        <v/>
      </c>
      <c r="E291" s="139"/>
      <c r="F291" s="28"/>
      <c r="G291" s="89"/>
      <c r="H291" s="139"/>
      <c r="I291" s="28"/>
      <c r="J291" s="240"/>
      <c r="K291" s="240"/>
    </row>
    <row r="292" spans="1:11">
      <c r="A292" s="134">
        <v>221</v>
      </c>
      <c r="B292" s="56" t="s">
        <v>957</v>
      </c>
      <c r="C292" s="8"/>
      <c r="D292" s="21" t="str">
        <f>IFERROR(VLOOKUP(B292,Product!$B:$H,6,FALSE),"")</f>
        <v/>
      </c>
      <c r="E292" s="139"/>
      <c r="F292" s="28"/>
      <c r="G292" s="89"/>
      <c r="H292" s="139"/>
      <c r="I292" s="28"/>
      <c r="J292" s="240"/>
      <c r="K292" s="240"/>
    </row>
    <row r="293" spans="1:11">
      <c r="A293" s="134">
        <v>222</v>
      </c>
      <c r="B293" s="56" t="s">
        <v>957</v>
      </c>
      <c r="C293" s="8"/>
      <c r="D293" s="21" t="str">
        <f>IFERROR(VLOOKUP(B293,Product!$B:$H,6,FALSE),"")</f>
        <v/>
      </c>
      <c r="E293" s="139"/>
      <c r="F293" s="28"/>
      <c r="G293" s="89"/>
      <c r="H293" s="139"/>
      <c r="I293" s="28"/>
      <c r="J293" s="240"/>
      <c r="K293" s="240"/>
    </row>
    <row r="294" spans="1:11">
      <c r="A294" s="134">
        <v>223</v>
      </c>
      <c r="B294" s="56" t="s">
        <v>957</v>
      </c>
      <c r="C294" s="8"/>
      <c r="D294" s="21" t="str">
        <f>IFERROR(VLOOKUP(B294,Product!$B:$H,6,FALSE),"")</f>
        <v/>
      </c>
      <c r="E294" s="139"/>
      <c r="F294" s="28"/>
      <c r="G294" s="89"/>
      <c r="H294" s="139"/>
      <c r="I294" s="28"/>
      <c r="J294" s="240"/>
      <c r="K294" s="240"/>
    </row>
    <row r="295" spans="1:11">
      <c r="A295" s="134">
        <v>224</v>
      </c>
      <c r="B295" s="56" t="s">
        <v>957</v>
      </c>
      <c r="C295" s="8"/>
      <c r="D295" s="21" t="str">
        <f>IFERROR(VLOOKUP(B295,Product!$B:$H,6,FALSE),"")</f>
        <v/>
      </c>
      <c r="E295" s="139"/>
      <c r="F295" s="28"/>
      <c r="G295" s="89"/>
      <c r="H295" s="139"/>
      <c r="I295" s="28"/>
      <c r="J295" s="240"/>
      <c r="K295" s="240"/>
    </row>
    <row r="296" spans="1:11">
      <c r="A296" s="134">
        <v>225</v>
      </c>
      <c r="B296" s="56" t="s">
        <v>957</v>
      </c>
      <c r="C296" s="8"/>
      <c r="D296" s="21" t="str">
        <f>IFERROR(VLOOKUP(B296,Product!$B:$H,6,FALSE),"")</f>
        <v/>
      </c>
      <c r="E296" s="139"/>
      <c r="F296" s="28"/>
      <c r="G296" s="89"/>
      <c r="H296" s="139"/>
      <c r="I296" s="28"/>
      <c r="J296" s="240"/>
      <c r="K296" s="240"/>
    </row>
    <row r="297" spans="1:11">
      <c r="A297" s="134">
        <v>226</v>
      </c>
      <c r="B297" s="56" t="s">
        <v>957</v>
      </c>
      <c r="C297" s="8"/>
      <c r="D297" s="21" t="str">
        <f>IFERROR(VLOOKUP(B297,Product!$B:$H,6,FALSE),"")</f>
        <v/>
      </c>
      <c r="E297" s="139"/>
      <c r="F297" s="28"/>
      <c r="G297" s="89"/>
      <c r="H297" s="139"/>
      <c r="I297" s="28"/>
      <c r="J297" s="240"/>
      <c r="K297" s="240"/>
    </row>
    <row r="298" spans="1:11">
      <c r="A298" s="134">
        <v>227</v>
      </c>
      <c r="B298" s="56" t="s">
        <v>957</v>
      </c>
      <c r="C298" s="8"/>
      <c r="D298" s="21" t="str">
        <f>IFERROR(VLOOKUP(B298,Product!$B:$H,6,FALSE),"")</f>
        <v/>
      </c>
      <c r="E298" s="139"/>
      <c r="F298" s="28"/>
      <c r="G298" s="89"/>
      <c r="H298" s="139"/>
      <c r="I298" s="28"/>
      <c r="J298" s="240"/>
      <c r="K298" s="240"/>
    </row>
    <row r="299" spans="1:11">
      <c r="A299" s="134">
        <v>228</v>
      </c>
      <c r="B299" s="56" t="s">
        <v>957</v>
      </c>
      <c r="C299" s="8"/>
      <c r="D299" s="21" t="str">
        <f>IFERROR(VLOOKUP(B299,Product!$B:$H,6,FALSE),"")</f>
        <v/>
      </c>
      <c r="E299" s="139"/>
      <c r="F299" s="28"/>
      <c r="G299" s="89"/>
      <c r="H299" s="139"/>
      <c r="I299" s="28"/>
      <c r="J299" s="240"/>
      <c r="K299" s="240"/>
    </row>
    <row r="300" spans="1:11">
      <c r="A300" s="134">
        <v>229</v>
      </c>
      <c r="B300" s="56" t="s">
        <v>957</v>
      </c>
      <c r="C300" s="8"/>
      <c r="D300" s="21" t="str">
        <f>IFERROR(VLOOKUP(B300,Product!$B:$H,6,FALSE),"")</f>
        <v/>
      </c>
      <c r="E300" s="139"/>
      <c r="F300" s="28"/>
      <c r="G300" s="89"/>
      <c r="H300" s="139"/>
      <c r="I300" s="28"/>
      <c r="J300" s="240"/>
      <c r="K300" s="240"/>
    </row>
    <row r="301" spans="1:11">
      <c r="A301" s="134">
        <v>230</v>
      </c>
      <c r="B301" s="56" t="s">
        <v>957</v>
      </c>
      <c r="C301" s="8"/>
      <c r="D301" s="21" t="str">
        <f>IFERROR(VLOOKUP(B301,Product!$B:$H,6,FALSE),"")</f>
        <v/>
      </c>
      <c r="E301" s="139"/>
      <c r="F301" s="28"/>
      <c r="G301" s="89"/>
      <c r="H301" s="139"/>
      <c r="I301" s="28"/>
      <c r="J301" s="240"/>
      <c r="K301" s="240"/>
    </row>
    <row r="302" spans="1:11">
      <c r="A302" s="134">
        <v>231</v>
      </c>
      <c r="B302" s="56" t="s">
        <v>957</v>
      </c>
      <c r="C302" s="8"/>
      <c r="D302" s="21" t="str">
        <f>IFERROR(VLOOKUP(B302,Product!$B:$H,6,FALSE),"")</f>
        <v/>
      </c>
      <c r="E302" s="139"/>
      <c r="F302" s="28"/>
      <c r="G302" s="89"/>
      <c r="H302" s="139"/>
      <c r="I302" s="28"/>
      <c r="J302" s="240"/>
      <c r="K302" s="240"/>
    </row>
    <row r="303" spans="1:11">
      <c r="A303" s="134">
        <v>232</v>
      </c>
      <c r="B303" s="56" t="s">
        <v>957</v>
      </c>
      <c r="C303" s="8"/>
      <c r="D303" s="21" t="str">
        <f>IFERROR(VLOOKUP(B303,Product!$B:$H,6,FALSE),"")</f>
        <v/>
      </c>
      <c r="E303" s="139"/>
      <c r="F303" s="28"/>
      <c r="G303" s="89"/>
      <c r="H303" s="139"/>
      <c r="I303" s="28"/>
      <c r="J303" s="240"/>
      <c r="K303" s="240"/>
    </row>
    <row r="304" spans="1:11">
      <c r="A304" s="134">
        <v>233</v>
      </c>
      <c r="B304" s="56" t="s">
        <v>957</v>
      </c>
      <c r="C304" s="8"/>
      <c r="D304" s="21" t="str">
        <f>IFERROR(VLOOKUP(B304,Product!$B:$H,6,FALSE),"")</f>
        <v/>
      </c>
      <c r="E304" s="139"/>
      <c r="F304" s="28"/>
      <c r="G304" s="89"/>
      <c r="H304" s="139"/>
      <c r="I304" s="28"/>
      <c r="J304" s="240"/>
      <c r="K304" s="240"/>
    </row>
    <row r="305" spans="1:11">
      <c r="A305" s="134">
        <v>234</v>
      </c>
      <c r="B305" s="56" t="s">
        <v>957</v>
      </c>
      <c r="C305" s="8"/>
      <c r="D305" s="21" t="str">
        <f>IFERROR(VLOOKUP(B305,Product!$B:$H,6,FALSE),"")</f>
        <v/>
      </c>
      <c r="E305" s="139"/>
      <c r="F305" s="28"/>
      <c r="G305" s="89"/>
      <c r="H305" s="139"/>
      <c r="I305" s="28"/>
      <c r="J305" s="240"/>
      <c r="K305" s="240"/>
    </row>
    <row r="306" spans="1:11">
      <c r="A306" s="134">
        <v>235</v>
      </c>
      <c r="B306" s="56" t="s">
        <v>957</v>
      </c>
      <c r="C306" s="8"/>
      <c r="D306" s="21" t="str">
        <f>IFERROR(VLOOKUP(B306,Product!$B:$H,6,FALSE),"")</f>
        <v/>
      </c>
      <c r="E306" s="139"/>
      <c r="F306" s="28"/>
      <c r="G306" s="89"/>
      <c r="H306" s="139"/>
      <c r="I306" s="28"/>
      <c r="J306" s="240"/>
      <c r="K306" s="240"/>
    </row>
    <row r="307" spans="1:11">
      <c r="A307" s="134">
        <v>236</v>
      </c>
      <c r="B307" s="56" t="s">
        <v>957</v>
      </c>
      <c r="C307" s="8"/>
      <c r="D307" s="21" t="str">
        <f>IFERROR(VLOOKUP(B307,Product!$B:$H,6,FALSE),"")</f>
        <v/>
      </c>
      <c r="E307" s="139"/>
      <c r="F307" s="28"/>
      <c r="G307" s="89"/>
      <c r="H307" s="139"/>
      <c r="I307" s="28"/>
      <c r="J307" s="240"/>
      <c r="K307" s="240"/>
    </row>
    <row r="308" spans="1:11">
      <c r="A308" s="134">
        <v>237</v>
      </c>
      <c r="B308" s="56" t="s">
        <v>957</v>
      </c>
      <c r="C308" s="8"/>
      <c r="D308" s="21" t="str">
        <f>IFERROR(VLOOKUP(B308,Product!$B:$H,6,FALSE),"")</f>
        <v/>
      </c>
      <c r="E308" s="139"/>
      <c r="F308" s="28"/>
      <c r="G308" s="89"/>
      <c r="H308" s="139"/>
      <c r="I308" s="28"/>
      <c r="J308" s="240"/>
      <c r="K308" s="240"/>
    </row>
    <row r="309" spans="1:11">
      <c r="A309" s="134">
        <v>238</v>
      </c>
      <c r="B309" s="56" t="s">
        <v>957</v>
      </c>
      <c r="C309" s="8"/>
      <c r="D309" s="21" t="str">
        <f>IFERROR(VLOOKUP(B309,Product!$B:$H,6,FALSE),"")</f>
        <v/>
      </c>
      <c r="E309" s="139"/>
      <c r="F309" s="28"/>
      <c r="G309" s="89"/>
      <c r="H309" s="139"/>
      <c r="I309" s="28"/>
      <c r="J309" s="240"/>
      <c r="K309" s="240"/>
    </row>
    <row r="310" spans="1:11">
      <c r="A310" s="134">
        <v>239</v>
      </c>
      <c r="B310" s="56" t="s">
        <v>957</v>
      </c>
      <c r="C310" s="8"/>
      <c r="D310" s="21" t="str">
        <f>IFERROR(VLOOKUP(B310,Product!$B:$H,6,FALSE),"")</f>
        <v/>
      </c>
      <c r="E310" s="139"/>
      <c r="F310" s="28"/>
      <c r="G310" s="89"/>
      <c r="H310" s="139"/>
      <c r="I310" s="28"/>
      <c r="J310" s="240"/>
      <c r="K310" s="240"/>
    </row>
    <row r="311" spans="1:11">
      <c r="A311" s="134">
        <v>240</v>
      </c>
      <c r="B311" s="56" t="s">
        <v>957</v>
      </c>
      <c r="C311" s="8"/>
      <c r="D311" s="21" t="str">
        <f>IFERROR(VLOOKUP(B311,Product!$B:$H,6,FALSE),"")</f>
        <v/>
      </c>
      <c r="E311" s="139"/>
      <c r="F311" s="28"/>
      <c r="G311" s="89"/>
      <c r="H311" s="139"/>
      <c r="I311" s="28"/>
      <c r="J311" s="240"/>
      <c r="K311" s="240"/>
    </row>
    <row r="312" spans="1:11">
      <c r="A312" s="134">
        <v>241</v>
      </c>
      <c r="B312" s="56" t="s">
        <v>957</v>
      </c>
      <c r="C312" s="8"/>
      <c r="D312" s="21" t="str">
        <f>IFERROR(VLOOKUP(B312,Product!$B:$H,6,FALSE),"")</f>
        <v/>
      </c>
      <c r="E312" s="139"/>
      <c r="F312" s="28"/>
      <c r="G312" s="89"/>
      <c r="H312" s="139"/>
      <c r="I312" s="28"/>
      <c r="J312" s="240"/>
      <c r="K312" s="240"/>
    </row>
    <row r="313" spans="1:11">
      <c r="A313" s="134">
        <v>242</v>
      </c>
      <c r="B313" s="56" t="s">
        <v>957</v>
      </c>
      <c r="C313" s="8"/>
      <c r="D313" s="21" t="str">
        <f>IFERROR(VLOOKUP(B313,Product!$B:$H,6,FALSE),"")</f>
        <v/>
      </c>
      <c r="E313" s="139"/>
      <c r="F313" s="28"/>
      <c r="G313" s="89"/>
      <c r="H313" s="139"/>
      <c r="I313" s="28"/>
      <c r="J313" s="240"/>
      <c r="K313" s="240"/>
    </row>
    <row r="314" spans="1:11">
      <c r="A314" s="134">
        <v>243</v>
      </c>
      <c r="B314" s="56" t="s">
        <v>957</v>
      </c>
      <c r="C314" s="8"/>
      <c r="D314" s="21" t="str">
        <f>IFERROR(VLOOKUP(B314,Product!$B:$H,6,FALSE),"")</f>
        <v/>
      </c>
      <c r="E314" s="139"/>
      <c r="F314" s="28"/>
      <c r="G314" s="89"/>
      <c r="H314" s="139"/>
      <c r="I314" s="28"/>
      <c r="J314" s="240"/>
      <c r="K314" s="240"/>
    </row>
    <row r="315" spans="1:11">
      <c r="A315" s="134">
        <v>244</v>
      </c>
      <c r="B315" s="56" t="s">
        <v>957</v>
      </c>
      <c r="C315" s="8"/>
      <c r="D315" s="21" t="str">
        <f>IFERROR(VLOOKUP(B315,Product!$B:$H,6,FALSE),"")</f>
        <v/>
      </c>
      <c r="E315" s="139"/>
      <c r="F315" s="28"/>
      <c r="G315" s="89"/>
      <c r="H315" s="139"/>
      <c r="I315" s="28"/>
      <c r="J315" s="240"/>
      <c r="K315" s="240"/>
    </row>
    <row r="316" spans="1:11">
      <c r="A316" s="134">
        <v>245</v>
      </c>
      <c r="B316" s="56" t="s">
        <v>957</v>
      </c>
      <c r="C316" s="8"/>
      <c r="D316" s="21" t="str">
        <f>IFERROR(VLOOKUP(B316,Product!$B:$H,6,FALSE),"")</f>
        <v/>
      </c>
      <c r="E316" s="139"/>
      <c r="F316" s="28"/>
      <c r="G316" s="89"/>
      <c r="H316" s="139"/>
      <c r="I316" s="28"/>
      <c r="J316" s="240"/>
      <c r="K316" s="240"/>
    </row>
    <row r="317" spans="1:11">
      <c r="A317" s="134">
        <v>246</v>
      </c>
      <c r="B317" s="56" t="s">
        <v>957</v>
      </c>
      <c r="C317" s="8"/>
      <c r="D317" s="21" t="str">
        <f>IFERROR(VLOOKUP(B317,Product!$B:$H,6,FALSE),"")</f>
        <v/>
      </c>
      <c r="E317" s="139"/>
      <c r="F317" s="28"/>
      <c r="G317" s="89"/>
      <c r="H317" s="139"/>
      <c r="I317" s="28"/>
      <c r="J317" s="240"/>
      <c r="K317" s="240"/>
    </row>
    <row r="318" spans="1:11">
      <c r="A318" s="134">
        <v>247</v>
      </c>
      <c r="B318" s="56" t="s">
        <v>957</v>
      </c>
      <c r="C318" s="8"/>
      <c r="D318" s="21" t="str">
        <f>IFERROR(VLOOKUP(B318,Product!$B:$H,6,FALSE),"")</f>
        <v/>
      </c>
      <c r="E318" s="139"/>
      <c r="F318" s="28"/>
      <c r="G318" s="89"/>
      <c r="H318" s="139"/>
      <c r="I318" s="28"/>
      <c r="J318" s="240"/>
      <c r="K318" s="240"/>
    </row>
    <row r="319" spans="1:11">
      <c r="A319" s="134">
        <v>248</v>
      </c>
      <c r="B319" s="56" t="s">
        <v>957</v>
      </c>
      <c r="C319" s="8"/>
      <c r="D319" s="21" t="str">
        <f>IFERROR(VLOOKUP(B319,Product!$B:$H,6,FALSE),"")</f>
        <v/>
      </c>
      <c r="E319" s="139"/>
      <c r="F319" s="28"/>
      <c r="G319" s="89"/>
      <c r="H319" s="139"/>
      <c r="I319" s="28"/>
      <c r="J319" s="240"/>
      <c r="K319" s="240"/>
    </row>
    <row r="320" spans="1:11">
      <c r="A320" s="134">
        <v>249</v>
      </c>
      <c r="B320" s="56" t="s">
        <v>957</v>
      </c>
      <c r="C320" s="8"/>
      <c r="D320" s="21" t="str">
        <f>IFERROR(VLOOKUP(B320,Product!$B:$H,6,FALSE),"")</f>
        <v/>
      </c>
      <c r="E320" s="139"/>
      <c r="F320" s="28"/>
      <c r="G320" s="89"/>
      <c r="H320" s="139"/>
      <c r="I320" s="28"/>
      <c r="J320" s="240"/>
      <c r="K320" s="240"/>
    </row>
    <row r="321" spans="1:11">
      <c r="A321" s="134">
        <v>250</v>
      </c>
      <c r="B321" s="56" t="s">
        <v>957</v>
      </c>
      <c r="C321" s="8"/>
      <c r="D321" s="21" t="str">
        <f>IFERROR(VLOOKUP(B321,Product!$B:$H,6,FALSE),"")</f>
        <v/>
      </c>
      <c r="E321" s="139"/>
      <c r="F321" s="28"/>
      <c r="G321" s="89"/>
      <c r="H321" s="139"/>
      <c r="I321" s="28"/>
      <c r="J321" s="240"/>
      <c r="K321" s="240"/>
    </row>
    <row r="322" spans="1:11">
      <c r="A322" s="134">
        <v>251</v>
      </c>
      <c r="B322" s="56" t="s">
        <v>957</v>
      </c>
      <c r="C322" s="8"/>
      <c r="D322" s="21" t="str">
        <f>IFERROR(VLOOKUP(B322,Product!$B:$H,6,FALSE),"")</f>
        <v/>
      </c>
      <c r="E322" s="139"/>
      <c r="F322" s="28"/>
      <c r="G322" s="89"/>
      <c r="H322" s="139"/>
      <c r="I322" s="28"/>
      <c r="J322" s="240"/>
      <c r="K322" s="240"/>
    </row>
    <row r="323" spans="1:11">
      <c r="A323" s="134">
        <v>252</v>
      </c>
      <c r="B323" s="56" t="s">
        <v>957</v>
      </c>
      <c r="C323" s="8"/>
      <c r="D323" s="21" t="str">
        <f>IFERROR(VLOOKUP(B323,Product!$B:$H,6,FALSE),"")</f>
        <v/>
      </c>
      <c r="E323" s="139"/>
      <c r="F323" s="28"/>
      <c r="G323" s="89"/>
      <c r="H323" s="139"/>
      <c r="I323" s="28"/>
      <c r="J323" s="240"/>
      <c r="K323" s="240"/>
    </row>
    <row r="324" spans="1:11">
      <c r="A324" s="134">
        <v>253</v>
      </c>
      <c r="B324" s="56" t="s">
        <v>957</v>
      </c>
      <c r="C324" s="8"/>
      <c r="D324" s="21" t="str">
        <f>IFERROR(VLOOKUP(B324,Product!$B:$H,6,FALSE),"")</f>
        <v/>
      </c>
      <c r="E324" s="139"/>
      <c r="F324" s="28"/>
      <c r="G324" s="89"/>
      <c r="H324" s="139"/>
      <c r="I324" s="28"/>
      <c r="J324" s="240"/>
      <c r="K324" s="240"/>
    </row>
    <row r="325" spans="1:11">
      <c r="A325" s="134">
        <v>254</v>
      </c>
      <c r="B325" s="56" t="s">
        <v>957</v>
      </c>
      <c r="C325" s="8"/>
      <c r="D325" s="21" t="str">
        <f>IFERROR(VLOOKUP(B325,Product!$B:$H,6,FALSE),"")</f>
        <v/>
      </c>
      <c r="E325" s="139"/>
      <c r="F325" s="28"/>
      <c r="G325" s="89"/>
      <c r="H325" s="139"/>
      <c r="I325" s="28"/>
      <c r="J325" s="240"/>
      <c r="K325" s="240"/>
    </row>
    <row r="326" spans="1:11">
      <c r="A326" s="134">
        <v>255</v>
      </c>
      <c r="B326" s="56" t="s">
        <v>957</v>
      </c>
      <c r="C326" s="8"/>
      <c r="D326" s="21" t="str">
        <f>IFERROR(VLOOKUP(B326,Product!$B:$H,6,FALSE),"")</f>
        <v/>
      </c>
      <c r="E326" s="139"/>
      <c r="F326" s="28"/>
      <c r="G326" s="89"/>
      <c r="H326" s="139"/>
      <c r="I326" s="28"/>
      <c r="J326" s="240"/>
      <c r="K326" s="240"/>
    </row>
    <row r="327" spans="1:11">
      <c r="A327" s="134">
        <v>256</v>
      </c>
      <c r="B327" s="56" t="s">
        <v>957</v>
      </c>
      <c r="C327" s="8"/>
      <c r="D327" s="21" t="str">
        <f>IFERROR(VLOOKUP(B327,Product!$B:$H,6,FALSE),"")</f>
        <v/>
      </c>
      <c r="E327" s="139"/>
      <c r="F327" s="28"/>
      <c r="G327" s="89"/>
      <c r="H327" s="139"/>
      <c r="I327" s="28"/>
      <c r="J327" s="240"/>
      <c r="K327" s="240"/>
    </row>
    <row r="328" spans="1:11">
      <c r="A328" s="134">
        <v>257</v>
      </c>
      <c r="B328" s="56" t="s">
        <v>957</v>
      </c>
      <c r="C328" s="8"/>
      <c r="D328" s="21" t="str">
        <f>IFERROR(VLOOKUP(B328,Product!$B:$H,6,FALSE),"")</f>
        <v/>
      </c>
      <c r="E328" s="139"/>
      <c r="F328" s="28"/>
      <c r="G328" s="89"/>
      <c r="H328" s="139"/>
      <c r="I328" s="28"/>
      <c r="J328" s="240"/>
      <c r="K328" s="240"/>
    </row>
    <row r="329" spans="1:11">
      <c r="A329" s="134">
        <v>258</v>
      </c>
      <c r="B329" s="56" t="s">
        <v>957</v>
      </c>
      <c r="C329" s="8"/>
      <c r="D329" s="21" t="str">
        <f>IFERROR(VLOOKUP(B329,Product!$B:$H,6,FALSE),"")</f>
        <v/>
      </c>
      <c r="E329" s="139"/>
      <c r="F329" s="28"/>
      <c r="G329" s="89"/>
      <c r="H329" s="139"/>
      <c r="I329" s="28"/>
      <c r="J329" s="240"/>
      <c r="K329" s="240"/>
    </row>
    <row r="330" spans="1:11">
      <c r="A330" s="134">
        <v>259</v>
      </c>
      <c r="B330" s="56" t="s">
        <v>957</v>
      </c>
      <c r="C330" s="8"/>
      <c r="D330" s="21" t="str">
        <f>IFERROR(VLOOKUP(B330,Product!$B:$H,6,FALSE),"")</f>
        <v/>
      </c>
      <c r="E330" s="139"/>
      <c r="F330" s="28"/>
      <c r="G330" s="89"/>
      <c r="H330" s="139"/>
      <c r="I330" s="28"/>
      <c r="J330" s="240"/>
      <c r="K330" s="240"/>
    </row>
    <row r="331" spans="1:11">
      <c r="A331" s="134">
        <v>260</v>
      </c>
      <c r="B331" s="56" t="s">
        <v>957</v>
      </c>
      <c r="C331" s="8"/>
      <c r="D331" s="21" t="str">
        <f>IFERROR(VLOOKUP(B331,Product!$B:$H,6,FALSE),"")</f>
        <v/>
      </c>
      <c r="E331" s="139"/>
      <c r="F331" s="28"/>
      <c r="G331" s="89"/>
      <c r="H331" s="139"/>
      <c r="I331" s="28"/>
      <c r="J331" s="240"/>
      <c r="K331" s="240"/>
    </row>
    <row r="332" spans="1:11">
      <c r="A332" s="134">
        <v>261</v>
      </c>
      <c r="B332" s="56" t="s">
        <v>957</v>
      </c>
      <c r="C332" s="8"/>
      <c r="D332" s="21" t="str">
        <f>IFERROR(VLOOKUP(B332,Product!$B:$H,6,FALSE),"")</f>
        <v/>
      </c>
      <c r="E332" s="139"/>
      <c r="F332" s="28"/>
      <c r="G332" s="89"/>
      <c r="H332" s="139"/>
      <c r="I332" s="28"/>
      <c r="J332" s="240"/>
      <c r="K332" s="240"/>
    </row>
    <row r="333" spans="1:11">
      <c r="A333" s="134">
        <v>262</v>
      </c>
      <c r="B333" s="56" t="s">
        <v>957</v>
      </c>
      <c r="C333" s="8"/>
      <c r="D333" s="21" t="str">
        <f>IFERROR(VLOOKUP(B333,Product!$B:$H,6,FALSE),"")</f>
        <v/>
      </c>
      <c r="E333" s="139"/>
      <c r="F333" s="28"/>
      <c r="G333" s="89"/>
      <c r="H333" s="139"/>
      <c r="I333" s="28"/>
      <c r="J333" s="240"/>
      <c r="K333" s="240"/>
    </row>
    <row r="334" spans="1:11">
      <c r="A334" s="134">
        <v>263</v>
      </c>
      <c r="B334" s="56" t="s">
        <v>957</v>
      </c>
      <c r="C334" s="8"/>
      <c r="D334" s="21" t="str">
        <f>IFERROR(VLOOKUP(B334,Product!$B:$H,6,FALSE),"")</f>
        <v/>
      </c>
      <c r="E334" s="139"/>
      <c r="F334" s="28"/>
      <c r="G334" s="89"/>
      <c r="H334" s="139"/>
      <c r="I334" s="28"/>
      <c r="J334" s="240"/>
      <c r="K334" s="240"/>
    </row>
    <row r="335" spans="1:11">
      <c r="A335" s="134">
        <v>264</v>
      </c>
      <c r="B335" s="56" t="s">
        <v>957</v>
      </c>
      <c r="C335" s="8"/>
      <c r="D335" s="21" t="str">
        <f>IFERROR(VLOOKUP(B335,Product!$B:$H,6,FALSE),"")</f>
        <v/>
      </c>
      <c r="E335" s="139"/>
      <c r="F335" s="28"/>
      <c r="G335" s="89"/>
      <c r="H335" s="139"/>
      <c r="I335" s="28"/>
      <c r="J335" s="240"/>
      <c r="K335" s="240"/>
    </row>
    <row r="336" spans="1:11">
      <c r="A336" s="134">
        <v>265</v>
      </c>
      <c r="B336" s="56" t="s">
        <v>957</v>
      </c>
      <c r="C336" s="8"/>
      <c r="D336" s="21" t="str">
        <f>IFERROR(VLOOKUP(B336,Product!$B:$H,6,FALSE),"")</f>
        <v/>
      </c>
      <c r="E336" s="139"/>
      <c r="F336" s="28"/>
      <c r="G336" s="89"/>
      <c r="H336" s="139"/>
      <c r="I336" s="28"/>
      <c r="J336" s="240"/>
      <c r="K336" s="240"/>
    </row>
    <row r="337" spans="1:11">
      <c r="A337" s="134">
        <v>266</v>
      </c>
      <c r="B337" s="56" t="s">
        <v>957</v>
      </c>
      <c r="C337" s="8"/>
      <c r="D337" s="21" t="str">
        <f>IFERROR(VLOOKUP(B337,Product!$B:$H,6,FALSE),"")</f>
        <v/>
      </c>
      <c r="E337" s="139"/>
      <c r="F337" s="28"/>
      <c r="G337" s="89"/>
      <c r="H337" s="139"/>
      <c r="I337" s="28"/>
      <c r="J337" s="240"/>
      <c r="K337" s="240"/>
    </row>
    <row r="338" spans="1:11">
      <c r="A338" s="134">
        <v>267</v>
      </c>
      <c r="B338" s="56" t="s">
        <v>957</v>
      </c>
      <c r="C338" s="8"/>
      <c r="D338" s="21" t="str">
        <f>IFERROR(VLOOKUP(B338,Product!$B:$H,6,FALSE),"")</f>
        <v/>
      </c>
      <c r="E338" s="139"/>
      <c r="F338" s="28"/>
      <c r="G338" s="89"/>
      <c r="H338" s="139"/>
      <c r="I338" s="28"/>
      <c r="J338" s="240"/>
      <c r="K338" s="240"/>
    </row>
    <row r="339" spans="1:11">
      <c r="A339" s="134">
        <v>268</v>
      </c>
      <c r="B339" s="56" t="s">
        <v>957</v>
      </c>
      <c r="C339" s="8"/>
      <c r="D339" s="21" t="str">
        <f>IFERROR(VLOOKUP(B339,Product!$B:$H,6,FALSE),"")</f>
        <v/>
      </c>
      <c r="E339" s="139"/>
      <c r="F339" s="28"/>
      <c r="G339" s="89"/>
      <c r="H339" s="139"/>
      <c r="I339" s="28"/>
      <c r="J339" s="240"/>
      <c r="K339" s="240"/>
    </row>
    <row r="340" spans="1:11">
      <c r="A340" s="134">
        <v>269</v>
      </c>
      <c r="B340" s="56" t="s">
        <v>957</v>
      </c>
      <c r="C340" s="8"/>
      <c r="D340" s="21" t="str">
        <f>IFERROR(VLOOKUP(B340,Product!$B:$H,6,FALSE),"")</f>
        <v/>
      </c>
      <c r="E340" s="139"/>
      <c r="F340" s="28"/>
      <c r="G340" s="89"/>
      <c r="H340" s="139"/>
      <c r="I340" s="28"/>
      <c r="J340" s="240"/>
      <c r="K340" s="240"/>
    </row>
    <row r="341" spans="1:11">
      <c r="A341" s="134">
        <v>270</v>
      </c>
      <c r="B341" s="56" t="s">
        <v>957</v>
      </c>
      <c r="C341" s="8"/>
      <c r="D341" s="21" t="str">
        <f>IFERROR(VLOOKUP(B341,Product!$B:$H,6,FALSE),"")</f>
        <v/>
      </c>
      <c r="E341" s="139"/>
      <c r="F341" s="28"/>
      <c r="G341" s="89"/>
      <c r="H341" s="139"/>
      <c r="I341" s="28"/>
      <c r="J341" s="240"/>
      <c r="K341" s="240"/>
    </row>
    <row r="342" spans="1:11">
      <c r="A342" s="134">
        <v>271</v>
      </c>
      <c r="B342" s="56" t="s">
        <v>957</v>
      </c>
      <c r="C342" s="8"/>
      <c r="D342" s="21" t="str">
        <f>IFERROR(VLOOKUP(B342,Product!$B:$H,6,FALSE),"")</f>
        <v/>
      </c>
      <c r="E342" s="139"/>
      <c r="F342" s="28"/>
      <c r="G342" s="89"/>
      <c r="H342" s="139"/>
      <c r="I342" s="28"/>
      <c r="J342" s="240"/>
      <c r="K342" s="240"/>
    </row>
    <row r="343" spans="1:11">
      <c r="A343" s="134">
        <v>272</v>
      </c>
      <c r="B343" s="56" t="s">
        <v>957</v>
      </c>
      <c r="C343" s="8"/>
      <c r="D343" s="21" t="str">
        <f>IFERROR(VLOOKUP(B343,Product!$B:$H,6,FALSE),"")</f>
        <v/>
      </c>
      <c r="E343" s="139"/>
      <c r="F343" s="28"/>
      <c r="G343" s="89"/>
      <c r="H343" s="139"/>
      <c r="I343" s="28"/>
      <c r="J343" s="240"/>
      <c r="K343" s="240"/>
    </row>
    <row r="344" spans="1:11">
      <c r="A344" s="134">
        <v>273</v>
      </c>
      <c r="B344" s="56" t="s">
        <v>957</v>
      </c>
      <c r="C344" s="8"/>
      <c r="D344" s="21" t="str">
        <f>IFERROR(VLOOKUP(B344,Product!$B:$H,6,FALSE),"")</f>
        <v/>
      </c>
      <c r="E344" s="139"/>
      <c r="F344" s="28"/>
      <c r="G344" s="89"/>
      <c r="H344" s="139"/>
      <c r="I344" s="28"/>
      <c r="J344" s="240"/>
      <c r="K344" s="240"/>
    </row>
    <row r="345" spans="1:11">
      <c r="A345" s="134">
        <v>274</v>
      </c>
      <c r="B345" s="56" t="s">
        <v>957</v>
      </c>
      <c r="C345" s="8"/>
      <c r="D345" s="21" t="str">
        <f>IFERROR(VLOOKUP(B345,Product!$B:$H,6,FALSE),"")</f>
        <v/>
      </c>
      <c r="E345" s="139"/>
      <c r="F345" s="28"/>
      <c r="G345" s="89"/>
      <c r="H345" s="139"/>
      <c r="I345" s="28"/>
      <c r="J345" s="240"/>
      <c r="K345" s="240"/>
    </row>
    <row r="346" spans="1:11">
      <c r="A346" s="134">
        <v>275</v>
      </c>
      <c r="B346" s="56" t="s">
        <v>957</v>
      </c>
      <c r="C346" s="8"/>
      <c r="D346" s="21" t="str">
        <f>IFERROR(VLOOKUP(B346,Product!$B:$H,6,FALSE),"")</f>
        <v/>
      </c>
      <c r="E346" s="139"/>
      <c r="F346" s="28"/>
      <c r="G346" s="89"/>
      <c r="H346" s="139"/>
      <c r="I346" s="28"/>
      <c r="J346" s="240"/>
      <c r="K346" s="240"/>
    </row>
    <row r="347" spans="1:11">
      <c r="A347" s="134">
        <v>276</v>
      </c>
      <c r="B347" s="56" t="s">
        <v>957</v>
      </c>
      <c r="C347" s="8"/>
      <c r="D347" s="21" t="str">
        <f>IFERROR(VLOOKUP(B347,Product!$B:$H,6,FALSE),"")</f>
        <v/>
      </c>
      <c r="E347" s="139"/>
      <c r="F347" s="28"/>
      <c r="G347" s="89"/>
      <c r="H347" s="139"/>
      <c r="I347" s="28"/>
      <c r="J347" s="240"/>
      <c r="K347" s="240"/>
    </row>
    <row r="348" spans="1:11">
      <c r="A348" s="134">
        <v>277</v>
      </c>
      <c r="B348" s="56" t="s">
        <v>957</v>
      </c>
      <c r="C348" s="8"/>
      <c r="D348" s="21" t="str">
        <f>IFERROR(VLOOKUP(B348,Product!$B:$H,6,FALSE),"")</f>
        <v/>
      </c>
      <c r="E348" s="139"/>
      <c r="F348" s="28"/>
      <c r="G348" s="89"/>
      <c r="H348" s="139"/>
      <c r="I348" s="28"/>
      <c r="J348" s="240"/>
      <c r="K348" s="240"/>
    </row>
    <row r="349" spans="1:11">
      <c r="A349" s="134">
        <v>278</v>
      </c>
      <c r="B349" s="56" t="s">
        <v>957</v>
      </c>
      <c r="C349" s="8"/>
      <c r="D349" s="21" t="str">
        <f>IFERROR(VLOOKUP(B349,Product!$B:$H,6,FALSE),"")</f>
        <v/>
      </c>
      <c r="E349" s="139"/>
      <c r="F349" s="28"/>
      <c r="G349" s="89"/>
      <c r="H349" s="139"/>
      <c r="I349" s="28"/>
      <c r="J349" s="240"/>
      <c r="K349" s="240"/>
    </row>
    <row r="350" spans="1:11">
      <c r="A350" s="134">
        <v>279</v>
      </c>
      <c r="B350" s="56" t="s">
        <v>957</v>
      </c>
      <c r="C350" s="8"/>
      <c r="D350" s="21" t="str">
        <f>IFERROR(VLOOKUP(B350,Product!$B:$H,6,FALSE),"")</f>
        <v/>
      </c>
      <c r="E350" s="139"/>
      <c r="F350" s="28"/>
      <c r="G350" s="89"/>
      <c r="H350" s="139"/>
      <c r="I350" s="28"/>
      <c r="J350" s="240"/>
      <c r="K350" s="240"/>
    </row>
    <row r="351" spans="1:11">
      <c r="A351" s="134">
        <v>280</v>
      </c>
      <c r="B351" s="56" t="s">
        <v>957</v>
      </c>
      <c r="C351" s="8"/>
      <c r="D351" s="21" t="str">
        <f>IFERROR(VLOOKUP(B351,Product!$B:$H,6,FALSE),"")</f>
        <v/>
      </c>
      <c r="E351" s="139"/>
      <c r="F351" s="28"/>
      <c r="G351" s="89"/>
      <c r="H351" s="139"/>
      <c r="I351" s="28"/>
      <c r="J351" s="240"/>
      <c r="K351" s="240"/>
    </row>
    <row r="352" spans="1:11">
      <c r="A352" s="134">
        <v>281</v>
      </c>
      <c r="B352" s="56" t="s">
        <v>957</v>
      </c>
      <c r="C352" s="8"/>
      <c r="D352" s="21" t="str">
        <f>IFERROR(VLOOKUP(B352,Product!$B:$H,6,FALSE),"")</f>
        <v/>
      </c>
      <c r="E352" s="139"/>
      <c r="F352" s="28"/>
      <c r="G352" s="89"/>
      <c r="H352" s="139"/>
      <c r="I352" s="28"/>
      <c r="J352" s="240"/>
      <c r="K352" s="240"/>
    </row>
    <row r="353" spans="1:11">
      <c r="A353" s="134">
        <v>282</v>
      </c>
      <c r="B353" s="56" t="s">
        <v>957</v>
      </c>
      <c r="C353" s="8"/>
      <c r="D353" s="21" t="str">
        <f>IFERROR(VLOOKUP(B353,Product!$B:$H,6,FALSE),"")</f>
        <v/>
      </c>
      <c r="E353" s="139"/>
      <c r="F353" s="28"/>
      <c r="G353" s="89"/>
      <c r="H353" s="139"/>
      <c r="I353" s="28"/>
      <c r="J353" s="240"/>
      <c r="K353" s="240"/>
    </row>
    <row r="354" spans="1:11">
      <c r="A354" s="134">
        <v>283</v>
      </c>
      <c r="B354" s="56" t="s">
        <v>957</v>
      </c>
      <c r="C354" s="8"/>
      <c r="D354" s="21" t="str">
        <f>IFERROR(VLOOKUP(B354,Product!$B:$H,6,FALSE),"")</f>
        <v/>
      </c>
      <c r="E354" s="139"/>
      <c r="F354" s="28"/>
      <c r="G354" s="89"/>
      <c r="H354" s="139"/>
      <c r="I354" s="28"/>
      <c r="J354" s="240"/>
      <c r="K354" s="240"/>
    </row>
    <row r="355" spans="1:11">
      <c r="A355" s="134">
        <v>284</v>
      </c>
      <c r="B355" s="56" t="s">
        <v>957</v>
      </c>
      <c r="C355" s="8"/>
      <c r="D355" s="21" t="str">
        <f>IFERROR(VLOOKUP(B355,Product!$B:$H,6,FALSE),"")</f>
        <v/>
      </c>
      <c r="E355" s="139"/>
      <c r="F355" s="28"/>
      <c r="G355" s="89"/>
      <c r="H355" s="139"/>
      <c r="I355" s="28"/>
      <c r="J355" s="240"/>
      <c r="K355" s="240"/>
    </row>
    <row r="356" spans="1:11">
      <c r="A356" s="134">
        <v>285</v>
      </c>
      <c r="B356" s="56" t="s">
        <v>957</v>
      </c>
      <c r="C356" s="8"/>
      <c r="D356" s="21" t="str">
        <f>IFERROR(VLOOKUP(B356,Product!$B:$H,6,FALSE),"")</f>
        <v/>
      </c>
      <c r="E356" s="139"/>
      <c r="F356" s="28"/>
      <c r="G356" s="89"/>
      <c r="H356" s="139"/>
      <c r="I356" s="28"/>
      <c r="J356" s="240"/>
      <c r="K356" s="240"/>
    </row>
    <row r="357" spans="1:11">
      <c r="A357" s="134">
        <v>286</v>
      </c>
      <c r="B357" s="56" t="s">
        <v>957</v>
      </c>
      <c r="C357" s="8"/>
      <c r="D357" s="21" t="str">
        <f>IFERROR(VLOOKUP(B357,Product!$B:$H,6,FALSE),"")</f>
        <v/>
      </c>
      <c r="E357" s="139"/>
      <c r="F357" s="28"/>
      <c r="G357" s="89"/>
      <c r="H357" s="139"/>
      <c r="I357" s="28"/>
      <c r="J357" s="240"/>
      <c r="K357" s="240"/>
    </row>
    <row r="358" spans="1:11">
      <c r="A358" s="134">
        <v>287</v>
      </c>
      <c r="B358" s="56" t="s">
        <v>957</v>
      </c>
      <c r="C358" s="8"/>
      <c r="D358" s="21" t="str">
        <f>IFERROR(VLOOKUP(B358,Product!$B:$H,6,FALSE),"")</f>
        <v/>
      </c>
      <c r="E358" s="139"/>
      <c r="F358" s="28"/>
      <c r="G358" s="89"/>
      <c r="H358" s="139"/>
      <c r="I358" s="28"/>
      <c r="J358" s="240"/>
      <c r="K358" s="240"/>
    </row>
    <row r="359" spans="1:11">
      <c r="A359" s="134">
        <v>288</v>
      </c>
      <c r="B359" s="56" t="s">
        <v>957</v>
      </c>
      <c r="C359" s="8"/>
      <c r="D359" s="21" t="str">
        <f>IFERROR(VLOOKUP(B359,Product!$B:$H,6,FALSE),"")</f>
        <v/>
      </c>
      <c r="E359" s="139"/>
      <c r="F359" s="28"/>
      <c r="G359" s="89"/>
      <c r="H359" s="139"/>
      <c r="I359" s="28"/>
      <c r="J359" s="240"/>
      <c r="K359" s="240"/>
    </row>
    <row r="360" spans="1:11">
      <c r="A360" s="134">
        <v>289</v>
      </c>
      <c r="B360" s="56" t="s">
        <v>957</v>
      </c>
      <c r="C360" s="8"/>
      <c r="D360" s="21" t="str">
        <f>IFERROR(VLOOKUP(B360,Product!$B:$H,6,FALSE),"")</f>
        <v/>
      </c>
      <c r="E360" s="139"/>
      <c r="F360" s="28"/>
      <c r="G360" s="89"/>
      <c r="H360" s="139"/>
      <c r="I360" s="28"/>
      <c r="J360" s="240"/>
      <c r="K360" s="240"/>
    </row>
    <row r="361" spans="1:11">
      <c r="A361" s="134">
        <v>290</v>
      </c>
      <c r="B361" s="56" t="s">
        <v>957</v>
      </c>
      <c r="C361" s="8"/>
      <c r="D361" s="21" t="str">
        <f>IFERROR(VLOOKUP(B361,Product!$B:$H,6,FALSE),"")</f>
        <v/>
      </c>
      <c r="E361" s="139"/>
      <c r="F361" s="28"/>
      <c r="G361" s="89"/>
      <c r="H361" s="139"/>
      <c r="I361" s="28"/>
      <c r="J361" s="240"/>
      <c r="K361" s="240"/>
    </row>
    <row r="362" spans="1:11">
      <c r="A362" s="134">
        <v>291</v>
      </c>
      <c r="B362" s="56" t="s">
        <v>957</v>
      </c>
      <c r="C362" s="8"/>
      <c r="D362" s="21" t="str">
        <f>IFERROR(VLOOKUP(B362,Product!$B:$H,6,FALSE),"")</f>
        <v/>
      </c>
      <c r="E362" s="139"/>
      <c r="F362" s="28"/>
      <c r="G362" s="89"/>
      <c r="H362" s="139"/>
      <c r="I362" s="28"/>
      <c r="J362" s="240"/>
      <c r="K362" s="240"/>
    </row>
    <row r="363" spans="1:11">
      <c r="A363" s="134">
        <v>292</v>
      </c>
      <c r="B363" s="56" t="s">
        <v>957</v>
      </c>
      <c r="C363" s="8"/>
      <c r="D363" s="21" t="str">
        <f>IFERROR(VLOOKUP(B363,Product!$B:$H,6,FALSE),"")</f>
        <v/>
      </c>
      <c r="E363" s="139"/>
      <c r="F363" s="28"/>
      <c r="G363" s="89"/>
      <c r="H363" s="139"/>
      <c r="I363" s="28"/>
      <c r="J363" s="240"/>
      <c r="K363" s="240"/>
    </row>
    <row r="364" spans="1:11">
      <c r="A364" s="134">
        <v>293</v>
      </c>
      <c r="B364" s="56" t="s">
        <v>957</v>
      </c>
      <c r="C364" s="8"/>
      <c r="D364" s="21" t="str">
        <f>IFERROR(VLOOKUP(B364,Product!$B:$H,6,FALSE),"")</f>
        <v/>
      </c>
      <c r="E364" s="139"/>
      <c r="F364" s="28"/>
      <c r="G364" s="89"/>
      <c r="H364" s="139"/>
      <c r="I364" s="28"/>
      <c r="J364" s="240"/>
      <c r="K364" s="240"/>
    </row>
    <row r="365" spans="1:11">
      <c r="A365" s="134">
        <v>294</v>
      </c>
      <c r="B365" s="56" t="s">
        <v>957</v>
      </c>
      <c r="C365" s="8"/>
      <c r="D365" s="21" t="str">
        <f>IFERROR(VLOOKUP(B365,Product!$B:$H,6,FALSE),"")</f>
        <v/>
      </c>
      <c r="E365" s="139"/>
      <c r="F365" s="28"/>
      <c r="G365" s="89"/>
      <c r="H365" s="139"/>
      <c r="I365" s="28"/>
      <c r="J365" s="240"/>
      <c r="K365" s="240"/>
    </row>
    <row r="366" spans="1:11">
      <c r="A366" s="134">
        <v>295</v>
      </c>
      <c r="B366" s="56" t="s">
        <v>957</v>
      </c>
      <c r="C366" s="8"/>
      <c r="D366" s="21" t="str">
        <f>IFERROR(VLOOKUP(B366,Product!$B:$H,6,FALSE),"")</f>
        <v/>
      </c>
      <c r="E366" s="139"/>
      <c r="F366" s="28"/>
      <c r="G366" s="89"/>
      <c r="H366" s="139"/>
      <c r="I366" s="28"/>
      <c r="J366" s="240"/>
      <c r="K366" s="240"/>
    </row>
    <row r="367" spans="1:11">
      <c r="A367" s="134">
        <v>296</v>
      </c>
      <c r="B367" s="56" t="s">
        <v>957</v>
      </c>
      <c r="C367" s="8"/>
      <c r="D367" s="21" t="str">
        <f>IFERROR(VLOOKUP(B367,Product!$B:$H,6,FALSE),"")</f>
        <v/>
      </c>
      <c r="E367" s="139"/>
      <c r="F367" s="28"/>
      <c r="G367" s="89"/>
      <c r="H367" s="139"/>
      <c r="I367" s="28"/>
      <c r="J367" s="240"/>
      <c r="K367" s="240"/>
    </row>
    <row r="368" spans="1:11">
      <c r="A368" s="134">
        <v>297</v>
      </c>
      <c r="B368" s="56" t="s">
        <v>957</v>
      </c>
      <c r="C368" s="8"/>
      <c r="D368" s="21" t="str">
        <f>IFERROR(VLOOKUP(B368,Product!$B:$H,6,FALSE),"")</f>
        <v/>
      </c>
      <c r="E368" s="139"/>
      <c r="F368" s="28"/>
      <c r="G368" s="89"/>
      <c r="H368" s="139"/>
      <c r="I368" s="28"/>
      <c r="J368" s="240"/>
      <c r="K368" s="240"/>
    </row>
    <row r="369" spans="1:11">
      <c r="A369" s="134">
        <v>298</v>
      </c>
      <c r="B369" s="56" t="s">
        <v>957</v>
      </c>
      <c r="C369" s="8"/>
      <c r="D369" s="21" t="str">
        <f>IFERROR(VLOOKUP(B369,Product!$B:$H,6,FALSE),"")</f>
        <v/>
      </c>
      <c r="E369" s="139"/>
      <c r="F369" s="28"/>
      <c r="G369" s="89"/>
      <c r="H369" s="139"/>
      <c r="I369" s="28"/>
      <c r="J369" s="240"/>
      <c r="K369" s="240"/>
    </row>
    <row r="370" spans="1:11">
      <c r="A370" s="134">
        <v>299</v>
      </c>
      <c r="B370" s="56" t="s">
        <v>957</v>
      </c>
      <c r="C370" s="8"/>
      <c r="D370" s="21" t="str">
        <f>IFERROR(VLOOKUP(B370,Product!$B:$H,6,FALSE),"")</f>
        <v/>
      </c>
      <c r="E370" s="139"/>
      <c r="F370" s="28"/>
      <c r="G370" s="89"/>
      <c r="H370" s="139"/>
      <c r="I370" s="28"/>
      <c r="J370" s="240"/>
      <c r="K370" s="240"/>
    </row>
    <row r="371" spans="1:11">
      <c r="A371" s="134">
        <v>300</v>
      </c>
      <c r="B371" s="56" t="s">
        <v>957</v>
      </c>
      <c r="C371" s="8"/>
      <c r="D371" s="21" t="str">
        <f>IFERROR(VLOOKUP(B371,Product!$B:$H,6,FALSE),"")</f>
        <v/>
      </c>
      <c r="E371" s="139"/>
      <c r="F371" s="28"/>
      <c r="G371" s="89"/>
      <c r="H371" s="139"/>
      <c r="I371" s="28"/>
      <c r="J371" s="240"/>
      <c r="K371" s="240"/>
    </row>
  </sheetData>
  <protectedRanges>
    <protectedRange sqref="E69:K69 C5:K19 C23:K27 C31:F68 H31:K68 G31:G32 G34:G68 C72:K371" name="범위1"/>
  </protectedRanges>
  <mergeCells count="301">
    <mergeCell ref="J77:K77"/>
    <mergeCell ref="J78:K78"/>
    <mergeCell ref="J79:K79"/>
    <mergeCell ref="J80:K80"/>
    <mergeCell ref="J81:K81"/>
    <mergeCell ref="J82:K82"/>
    <mergeCell ref="J71:K71"/>
    <mergeCell ref="J72:K72"/>
    <mergeCell ref="J73:K73"/>
    <mergeCell ref="J74:K74"/>
    <mergeCell ref="J75:K75"/>
    <mergeCell ref="J76:K76"/>
    <mergeCell ref="J89:K89"/>
    <mergeCell ref="J90:K90"/>
    <mergeCell ref="J91:K91"/>
    <mergeCell ref="J92:K92"/>
    <mergeCell ref="J93:K93"/>
    <mergeCell ref="J94:K94"/>
    <mergeCell ref="J83:K83"/>
    <mergeCell ref="J84:K84"/>
    <mergeCell ref="J85:K85"/>
    <mergeCell ref="J86:K86"/>
    <mergeCell ref="J87:K87"/>
    <mergeCell ref="J88:K88"/>
    <mergeCell ref="J101:K101"/>
    <mergeCell ref="J102:K102"/>
    <mergeCell ref="J103:K103"/>
    <mergeCell ref="J104:K104"/>
    <mergeCell ref="J105:K105"/>
    <mergeCell ref="J106:K106"/>
    <mergeCell ref="J95:K95"/>
    <mergeCell ref="J96:K96"/>
    <mergeCell ref="J97:K97"/>
    <mergeCell ref="J98:K98"/>
    <mergeCell ref="J99:K99"/>
    <mergeCell ref="J100:K100"/>
    <mergeCell ref="J113:K113"/>
    <mergeCell ref="J114:K114"/>
    <mergeCell ref="J115:K115"/>
    <mergeCell ref="J116:K116"/>
    <mergeCell ref="J117:K117"/>
    <mergeCell ref="J118:K118"/>
    <mergeCell ref="J107:K107"/>
    <mergeCell ref="J108:K108"/>
    <mergeCell ref="J109:K109"/>
    <mergeCell ref="J110:K110"/>
    <mergeCell ref="J111:K111"/>
    <mergeCell ref="J112:K112"/>
    <mergeCell ref="J125:K125"/>
    <mergeCell ref="J126:K126"/>
    <mergeCell ref="J127:K127"/>
    <mergeCell ref="J128:K128"/>
    <mergeCell ref="J129:K129"/>
    <mergeCell ref="J130:K130"/>
    <mergeCell ref="J119:K119"/>
    <mergeCell ref="J120:K120"/>
    <mergeCell ref="J121:K121"/>
    <mergeCell ref="J122:K122"/>
    <mergeCell ref="J123:K123"/>
    <mergeCell ref="J124:K124"/>
    <mergeCell ref="J137:K137"/>
    <mergeCell ref="J138:K138"/>
    <mergeCell ref="J139:K139"/>
    <mergeCell ref="J140:K140"/>
    <mergeCell ref="J141:K141"/>
    <mergeCell ref="J142:K142"/>
    <mergeCell ref="J131:K131"/>
    <mergeCell ref="J132:K132"/>
    <mergeCell ref="J133:K133"/>
    <mergeCell ref="J134:K134"/>
    <mergeCell ref="J135:K135"/>
    <mergeCell ref="J136:K136"/>
    <mergeCell ref="J149:K149"/>
    <mergeCell ref="J150:K150"/>
    <mergeCell ref="J151:K151"/>
    <mergeCell ref="J152:K152"/>
    <mergeCell ref="J153:K153"/>
    <mergeCell ref="J154:K154"/>
    <mergeCell ref="J143:K143"/>
    <mergeCell ref="J144:K144"/>
    <mergeCell ref="J145:K145"/>
    <mergeCell ref="J146:K146"/>
    <mergeCell ref="J147:K147"/>
    <mergeCell ref="J148:K148"/>
    <mergeCell ref="J161:K161"/>
    <mergeCell ref="J162:K162"/>
    <mergeCell ref="J163:K163"/>
    <mergeCell ref="J164:K164"/>
    <mergeCell ref="J165:K165"/>
    <mergeCell ref="J166:K166"/>
    <mergeCell ref="J155:K155"/>
    <mergeCell ref="J156:K156"/>
    <mergeCell ref="J157:K157"/>
    <mergeCell ref="J158:K158"/>
    <mergeCell ref="J159:K159"/>
    <mergeCell ref="J160:K160"/>
    <mergeCell ref="J173:K173"/>
    <mergeCell ref="J174:K174"/>
    <mergeCell ref="J175:K175"/>
    <mergeCell ref="J176:K176"/>
    <mergeCell ref="J177:K177"/>
    <mergeCell ref="J178:K178"/>
    <mergeCell ref="J167:K167"/>
    <mergeCell ref="J168:K168"/>
    <mergeCell ref="J169:K169"/>
    <mergeCell ref="J170:K170"/>
    <mergeCell ref="J171:K171"/>
    <mergeCell ref="J172:K172"/>
    <mergeCell ref="J185:K185"/>
    <mergeCell ref="J186:K186"/>
    <mergeCell ref="J187:K187"/>
    <mergeCell ref="J188:K188"/>
    <mergeCell ref="J189:K189"/>
    <mergeCell ref="J190:K190"/>
    <mergeCell ref="J179:K179"/>
    <mergeCell ref="J180:K180"/>
    <mergeCell ref="J181:K181"/>
    <mergeCell ref="J182:K182"/>
    <mergeCell ref="J183:K183"/>
    <mergeCell ref="J184:K184"/>
    <mergeCell ref="J197:K197"/>
    <mergeCell ref="J198:K198"/>
    <mergeCell ref="J199:K199"/>
    <mergeCell ref="J200:K200"/>
    <mergeCell ref="J201:K201"/>
    <mergeCell ref="J202:K202"/>
    <mergeCell ref="J191:K191"/>
    <mergeCell ref="J192:K192"/>
    <mergeCell ref="J193:K193"/>
    <mergeCell ref="J194:K194"/>
    <mergeCell ref="J195:K195"/>
    <mergeCell ref="J196:K196"/>
    <mergeCell ref="J209:K209"/>
    <mergeCell ref="J210:K210"/>
    <mergeCell ref="J211:K211"/>
    <mergeCell ref="J212:K212"/>
    <mergeCell ref="J213:K213"/>
    <mergeCell ref="J214:K214"/>
    <mergeCell ref="J203:K203"/>
    <mergeCell ref="J204:K204"/>
    <mergeCell ref="J205:K205"/>
    <mergeCell ref="J206:K206"/>
    <mergeCell ref="J207:K207"/>
    <mergeCell ref="J208:K208"/>
    <mergeCell ref="J221:K221"/>
    <mergeCell ref="J222:K222"/>
    <mergeCell ref="J223:K223"/>
    <mergeCell ref="J224:K224"/>
    <mergeCell ref="J225:K225"/>
    <mergeCell ref="J226:K226"/>
    <mergeCell ref="J215:K215"/>
    <mergeCell ref="J216:K216"/>
    <mergeCell ref="J217:K217"/>
    <mergeCell ref="J218:K218"/>
    <mergeCell ref="J219:K219"/>
    <mergeCell ref="J220:K220"/>
    <mergeCell ref="J233:K233"/>
    <mergeCell ref="J234:K234"/>
    <mergeCell ref="J235:K235"/>
    <mergeCell ref="J236:K236"/>
    <mergeCell ref="J237:K237"/>
    <mergeCell ref="J238:K238"/>
    <mergeCell ref="J227:K227"/>
    <mergeCell ref="J228:K228"/>
    <mergeCell ref="J229:K229"/>
    <mergeCell ref="J230:K230"/>
    <mergeCell ref="J231:K231"/>
    <mergeCell ref="J232:K232"/>
    <mergeCell ref="J245:K245"/>
    <mergeCell ref="J246:K246"/>
    <mergeCell ref="J247:K247"/>
    <mergeCell ref="J248:K248"/>
    <mergeCell ref="J249:K249"/>
    <mergeCell ref="J250:K250"/>
    <mergeCell ref="J239:K239"/>
    <mergeCell ref="J240:K240"/>
    <mergeCell ref="J241:K241"/>
    <mergeCell ref="J242:K242"/>
    <mergeCell ref="J243:K243"/>
    <mergeCell ref="J244:K244"/>
    <mergeCell ref="J257:K257"/>
    <mergeCell ref="J258:K258"/>
    <mergeCell ref="J259:K259"/>
    <mergeCell ref="J260:K260"/>
    <mergeCell ref="J261:K261"/>
    <mergeCell ref="J262:K262"/>
    <mergeCell ref="J251:K251"/>
    <mergeCell ref="J252:K252"/>
    <mergeCell ref="J253:K253"/>
    <mergeCell ref="J254:K254"/>
    <mergeCell ref="J255:K255"/>
    <mergeCell ref="J256:K256"/>
    <mergeCell ref="J269:K269"/>
    <mergeCell ref="J270:K270"/>
    <mergeCell ref="J271:K271"/>
    <mergeCell ref="J272:K272"/>
    <mergeCell ref="J273:K273"/>
    <mergeCell ref="J274:K274"/>
    <mergeCell ref="J263:K263"/>
    <mergeCell ref="J264:K264"/>
    <mergeCell ref="J265:K265"/>
    <mergeCell ref="J266:K266"/>
    <mergeCell ref="J267:K267"/>
    <mergeCell ref="J268:K268"/>
    <mergeCell ref="J281:K281"/>
    <mergeCell ref="J282:K282"/>
    <mergeCell ref="J283:K283"/>
    <mergeCell ref="J284:K284"/>
    <mergeCell ref="J285:K285"/>
    <mergeCell ref="J286:K286"/>
    <mergeCell ref="J275:K275"/>
    <mergeCell ref="J276:K276"/>
    <mergeCell ref="J277:K277"/>
    <mergeCell ref="J278:K278"/>
    <mergeCell ref="J279:K279"/>
    <mergeCell ref="J280:K280"/>
    <mergeCell ref="J293:K293"/>
    <mergeCell ref="J294:K294"/>
    <mergeCell ref="J295:K295"/>
    <mergeCell ref="J296:K296"/>
    <mergeCell ref="J297:K297"/>
    <mergeCell ref="J298:K298"/>
    <mergeCell ref="J287:K287"/>
    <mergeCell ref="J288:K288"/>
    <mergeCell ref="J289:K289"/>
    <mergeCell ref="J290:K290"/>
    <mergeCell ref="J291:K291"/>
    <mergeCell ref="J292:K292"/>
    <mergeCell ref="J305:K305"/>
    <mergeCell ref="J306:K306"/>
    <mergeCell ref="J307:K307"/>
    <mergeCell ref="J308:K308"/>
    <mergeCell ref="J309:K309"/>
    <mergeCell ref="J310:K310"/>
    <mergeCell ref="J299:K299"/>
    <mergeCell ref="J300:K300"/>
    <mergeCell ref="J301:K301"/>
    <mergeCell ref="J302:K302"/>
    <mergeCell ref="J303:K303"/>
    <mergeCell ref="J304:K304"/>
    <mergeCell ref="J317:K317"/>
    <mergeCell ref="J318:K318"/>
    <mergeCell ref="J319:K319"/>
    <mergeCell ref="J320:K320"/>
    <mergeCell ref="J321:K321"/>
    <mergeCell ref="J322:K322"/>
    <mergeCell ref="J311:K311"/>
    <mergeCell ref="J312:K312"/>
    <mergeCell ref="J313:K313"/>
    <mergeCell ref="J314:K314"/>
    <mergeCell ref="J315:K315"/>
    <mergeCell ref="J316:K316"/>
    <mergeCell ref="J329:K329"/>
    <mergeCell ref="J330:K330"/>
    <mergeCell ref="J331:K331"/>
    <mergeCell ref="J332:K332"/>
    <mergeCell ref="J333:K333"/>
    <mergeCell ref="J334:K334"/>
    <mergeCell ref="J323:K323"/>
    <mergeCell ref="J324:K324"/>
    <mergeCell ref="J325:K325"/>
    <mergeCell ref="J326:K326"/>
    <mergeCell ref="J327:K327"/>
    <mergeCell ref="J328:K328"/>
    <mergeCell ref="J341:K341"/>
    <mergeCell ref="J342:K342"/>
    <mergeCell ref="J343:K343"/>
    <mergeCell ref="J344:K344"/>
    <mergeCell ref="J345:K345"/>
    <mergeCell ref="J346:K346"/>
    <mergeCell ref="J335:K335"/>
    <mergeCell ref="J336:K336"/>
    <mergeCell ref="J337:K337"/>
    <mergeCell ref="J338:K338"/>
    <mergeCell ref="J339:K339"/>
    <mergeCell ref="J340:K340"/>
    <mergeCell ref="J353:K353"/>
    <mergeCell ref="J354:K354"/>
    <mergeCell ref="J355:K355"/>
    <mergeCell ref="J356:K356"/>
    <mergeCell ref="J357:K357"/>
    <mergeCell ref="J358:K358"/>
    <mergeCell ref="J347:K347"/>
    <mergeCell ref="J348:K348"/>
    <mergeCell ref="J349:K349"/>
    <mergeCell ref="J350:K350"/>
    <mergeCell ref="J351:K351"/>
    <mergeCell ref="J352:K352"/>
    <mergeCell ref="J371:K371"/>
    <mergeCell ref="J365:K365"/>
    <mergeCell ref="J366:K366"/>
    <mergeCell ref="J367:K367"/>
    <mergeCell ref="J368:K368"/>
    <mergeCell ref="J369:K369"/>
    <mergeCell ref="J370:K370"/>
    <mergeCell ref="J359:K359"/>
    <mergeCell ref="J360:K360"/>
    <mergeCell ref="J361:K361"/>
    <mergeCell ref="J362:K362"/>
    <mergeCell ref="J363:K363"/>
    <mergeCell ref="J364:K364"/>
  </mergeCells>
  <phoneticPr fontId="2" type="noConversion"/>
  <conditionalFormatting sqref="A5:K19">
    <cfRule type="expression" dxfId="3" priority="3">
      <formula>$D5="Not use"</formula>
    </cfRule>
  </conditionalFormatting>
  <conditionalFormatting sqref="A23:K27">
    <cfRule type="expression" dxfId="2" priority="2">
      <formula>$D23="Not use"</formula>
    </cfRule>
  </conditionalFormatting>
  <conditionalFormatting sqref="A31:K31 A32:F33 H32:K33 A34:K68">
    <cfRule type="expression" dxfId="1" priority="1">
      <formula>$D31="Not dispose"</formula>
    </cfRule>
  </conditionalFormatting>
  <conditionalFormatting sqref="G32">
    <cfRule type="expression" dxfId="0" priority="5">
      <formula>$D33="Not dispose"</formula>
    </cfRule>
  </conditionalFormatting>
  <dataValidations count="3">
    <dataValidation type="list" allowBlank="1" showInputMessage="1" showErrorMessage="1" sqref="H5:H19">
      <formula1>"Scope 1, Scope 2"</formula1>
    </dataValidation>
    <dataValidation type="list" allowBlank="1" showInputMessage="1" showErrorMessage="1" sqref="D5:D19 D23:D27">
      <formula1>"Use, Not use"</formula1>
    </dataValidation>
    <dataValidation type="list" allowBlank="1" showInputMessage="1" showErrorMessage="1" sqref="D31:D68">
      <formula1>"Dispose, Not dispose"</formula1>
    </dataValidation>
  </dataValidations>
  <pageMargins left="0" right="0" top="0" bottom="0" header="0.31496062992125984" footer="0.31496062992125984"/>
  <pageSetup paperSize="9" scale="55" orientation="landscape" horizontalDpi="4294967293"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Ref!$B$91:$B$255</xm:f>
          </x14:formula1>
          <xm:sqref>I72:I371</xm:sqref>
        </x14:dataValidation>
        <x14:dataValidation type="list" allowBlank="1" showInputMessage="1" showErrorMessage="1">
          <x14:formula1>
            <xm:f>Ref!$B$82:$B$90</xm:f>
          </x14:formula1>
          <xm:sqref>F72:F371</xm:sqref>
        </x14:dataValidation>
        <x14:dataValidation type="list" allowBlank="1" showInputMessage="1" showErrorMessage="1">
          <x14:formula1>
            <xm:f>Product!$B$5:$B$49</xm:f>
          </x14:formula1>
          <xm:sqref>C72:C371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2"/>
  <sheetViews>
    <sheetView topLeftCell="A16" workbookViewId="0">
      <selection activeCell="B22" sqref="B22"/>
    </sheetView>
  </sheetViews>
  <sheetFormatPr defaultColWidth="8.75" defaultRowHeight="16.5"/>
  <cols>
    <col min="1" max="1" width="33.5" style="18" customWidth="1"/>
    <col min="2" max="2" width="86.875" style="18" customWidth="1"/>
    <col min="3" max="3" width="4.125" customWidth="1"/>
    <col min="4" max="4" width="56.25" customWidth="1"/>
  </cols>
  <sheetData>
    <row r="1" spans="1:4" ht="20.25">
      <c r="A1" s="9" t="s">
        <v>34</v>
      </c>
      <c r="B1" s="10"/>
      <c r="C1" s="11"/>
      <c r="D1" s="11"/>
    </row>
    <row r="2" spans="1:4">
      <c r="A2" s="10"/>
      <c r="B2" s="10"/>
      <c r="C2" s="11"/>
      <c r="D2" s="11"/>
    </row>
    <row r="3" spans="1:4">
      <c r="A3" s="12" t="s">
        <v>35</v>
      </c>
      <c r="B3" s="12" t="s">
        <v>36</v>
      </c>
      <c r="C3" s="11"/>
      <c r="D3" s="12" t="s">
        <v>35</v>
      </c>
    </row>
    <row r="4" spans="1:4">
      <c r="A4" s="13" t="s">
        <v>37</v>
      </c>
      <c r="B4" s="14" t="s">
        <v>38</v>
      </c>
      <c r="C4" s="11"/>
      <c r="D4" s="15" t="s">
        <v>39</v>
      </c>
    </row>
    <row r="5" spans="1:4">
      <c r="A5" s="13" t="s">
        <v>37</v>
      </c>
      <c r="B5" s="14" t="s">
        <v>40</v>
      </c>
      <c r="C5" s="11"/>
      <c r="D5" s="15" t="s">
        <v>41</v>
      </c>
    </row>
    <row r="6" spans="1:4">
      <c r="A6" s="13" t="s">
        <v>37</v>
      </c>
      <c r="B6" s="14" t="s">
        <v>42</v>
      </c>
      <c r="C6" s="11"/>
      <c r="D6" s="15" t="s">
        <v>43</v>
      </c>
    </row>
    <row r="7" spans="1:4">
      <c r="A7" s="13" t="s">
        <v>37</v>
      </c>
      <c r="B7" s="14" t="s">
        <v>44</v>
      </c>
      <c r="C7" s="11"/>
      <c r="D7" s="15" t="s">
        <v>45</v>
      </c>
    </row>
    <row r="8" spans="1:4">
      <c r="A8" s="13" t="s">
        <v>37</v>
      </c>
      <c r="B8" s="14" t="s">
        <v>46</v>
      </c>
      <c r="C8" s="11"/>
      <c r="D8" s="15" t="s">
        <v>32</v>
      </c>
    </row>
    <row r="9" spans="1:4">
      <c r="A9" s="13" t="s">
        <v>37</v>
      </c>
      <c r="B9" s="14" t="s">
        <v>47</v>
      </c>
      <c r="C9" s="11"/>
      <c r="D9" s="15" t="s">
        <v>48</v>
      </c>
    </row>
    <row r="10" spans="1:4">
      <c r="A10" s="13" t="s">
        <v>37</v>
      </c>
      <c r="B10" s="14" t="s">
        <v>49</v>
      </c>
      <c r="C10" s="11"/>
      <c r="D10" s="15" t="s">
        <v>50</v>
      </c>
    </row>
    <row r="11" spans="1:4">
      <c r="A11" s="13" t="s">
        <v>37</v>
      </c>
      <c r="B11" s="14" t="s">
        <v>51</v>
      </c>
      <c r="C11" s="11"/>
      <c r="D11" s="15" t="s">
        <v>52</v>
      </c>
    </row>
    <row r="12" spans="1:4">
      <c r="A12" s="13" t="s">
        <v>37</v>
      </c>
      <c r="B12" s="14" t="s">
        <v>53</v>
      </c>
      <c r="C12" s="11"/>
      <c r="D12" s="15" t="s">
        <v>54</v>
      </c>
    </row>
    <row r="13" spans="1:4">
      <c r="A13" s="13" t="s">
        <v>37</v>
      </c>
      <c r="B13" s="14" t="s">
        <v>55</v>
      </c>
      <c r="C13" s="11"/>
      <c r="D13" s="15" t="s">
        <v>56</v>
      </c>
    </row>
    <row r="14" spans="1:4">
      <c r="A14" s="13" t="s">
        <v>37</v>
      </c>
      <c r="B14" s="14" t="s">
        <v>57</v>
      </c>
      <c r="C14" s="11"/>
      <c r="D14" s="15" t="s">
        <v>58</v>
      </c>
    </row>
    <row r="15" spans="1:4">
      <c r="A15" s="13" t="s">
        <v>50</v>
      </c>
      <c r="B15" s="14" t="s">
        <v>59</v>
      </c>
      <c r="C15" s="11"/>
      <c r="D15" s="15" t="s">
        <v>37</v>
      </c>
    </row>
    <row r="16" spans="1:4">
      <c r="A16" s="13" t="s">
        <v>50</v>
      </c>
      <c r="B16" s="14" t="s">
        <v>60</v>
      </c>
      <c r="C16" s="11"/>
      <c r="D16" s="15" t="s">
        <v>61</v>
      </c>
    </row>
    <row r="17" spans="1:4">
      <c r="A17" s="13" t="s">
        <v>50</v>
      </c>
      <c r="B17" s="14" t="s">
        <v>62</v>
      </c>
      <c r="C17" s="11"/>
      <c r="D17" s="15" t="s">
        <v>63</v>
      </c>
    </row>
    <row r="18" spans="1:4">
      <c r="A18" s="13" t="s">
        <v>50</v>
      </c>
      <c r="B18" s="14" t="s">
        <v>64</v>
      </c>
      <c r="C18" s="11"/>
      <c r="D18" s="15" t="s">
        <v>65</v>
      </c>
    </row>
    <row r="19" spans="1:4">
      <c r="A19" s="13" t="s">
        <v>50</v>
      </c>
      <c r="B19" s="14" t="s">
        <v>66</v>
      </c>
      <c r="C19" s="11"/>
      <c r="D19" s="15" t="s">
        <v>67</v>
      </c>
    </row>
    <row r="20" spans="1:4">
      <c r="A20" s="13" t="s">
        <v>50</v>
      </c>
      <c r="B20" s="14" t="s">
        <v>68</v>
      </c>
      <c r="C20" s="11"/>
      <c r="D20" s="15" t="s">
        <v>69</v>
      </c>
    </row>
    <row r="21" spans="1:4">
      <c r="A21" s="13" t="s">
        <v>50</v>
      </c>
      <c r="B21" s="14" t="s">
        <v>70</v>
      </c>
      <c r="C21" s="11"/>
      <c r="D21" s="15" t="s">
        <v>71</v>
      </c>
    </row>
    <row r="22" spans="1:4">
      <c r="A22" s="13" t="s">
        <v>50</v>
      </c>
      <c r="B22" s="14" t="s">
        <v>72</v>
      </c>
      <c r="C22" s="11"/>
      <c r="D22" s="15" t="s">
        <v>73</v>
      </c>
    </row>
    <row r="23" spans="1:4">
      <c r="A23" s="13" t="s">
        <v>50</v>
      </c>
      <c r="B23" s="14" t="s">
        <v>74</v>
      </c>
      <c r="C23" s="11"/>
      <c r="D23" s="15" t="s">
        <v>75</v>
      </c>
    </row>
    <row r="24" spans="1:4">
      <c r="A24" s="13" t="s">
        <v>50</v>
      </c>
      <c r="B24" s="14" t="s">
        <v>76</v>
      </c>
      <c r="C24" s="11"/>
      <c r="D24" s="15" t="s">
        <v>77</v>
      </c>
    </row>
    <row r="25" spans="1:4">
      <c r="A25" s="13" t="s">
        <v>50</v>
      </c>
      <c r="B25" s="14" t="s">
        <v>78</v>
      </c>
      <c r="C25" s="11"/>
      <c r="D25" s="15" t="s">
        <v>79</v>
      </c>
    </row>
    <row r="26" spans="1:4">
      <c r="A26" s="13" t="s">
        <v>50</v>
      </c>
      <c r="B26" s="14" t="s">
        <v>80</v>
      </c>
      <c r="C26" s="11"/>
      <c r="D26" s="15" t="s">
        <v>81</v>
      </c>
    </row>
    <row r="27" spans="1:4">
      <c r="A27" s="13" t="s">
        <v>56</v>
      </c>
      <c r="B27" s="14" t="s">
        <v>82</v>
      </c>
      <c r="C27" s="11"/>
      <c r="D27" s="15" t="s">
        <v>83</v>
      </c>
    </row>
    <row r="28" spans="1:4">
      <c r="A28" s="13" t="s">
        <v>84</v>
      </c>
      <c r="B28" s="14" t="s">
        <v>85</v>
      </c>
      <c r="C28" s="11"/>
      <c r="D28" s="15" t="s">
        <v>86</v>
      </c>
    </row>
    <row r="29" spans="1:4">
      <c r="A29" s="13" t="s">
        <v>84</v>
      </c>
      <c r="B29" s="14" t="s">
        <v>87</v>
      </c>
      <c r="C29" s="11"/>
      <c r="D29" s="15" t="s">
        <v>88</v>
      </c>
    </row>
    <row r="30" spans="1:4">
      <c r="A30" s="13" t="s">
        <v>84</v>
      </c>
      <c r="B30" s="14" t="s">
        <v>89</v>
      </c>
      <c r="C30" s="11"/>
      <c r="D30" s="15" t="s">
        <v>90</v>
      </c>
    </row>
    <row r="31" spans="1:4">
      <c r="A31" s="13" t="s">
        <v>91</v>
      </c>
      <c r="B31" s="14" t="s">
        <v>92</v>
      </c>
      <c r="C31" s="11"/>
      <c r="D31" s="15" t="s">
        <v>93</v>
      </c>
    </row>
    <row r="32" spans="1:4">
      <c r="A32" s="13" t="s">
        <v>91</v>
      </c>
      <c r="B32" s="14" t="s">
        <v>94</v>
      </c>
      <c r="C32" s="11"/>
      <c r="D32" s="15" t="s">
        <v>95</v>
      </c>
    </row>
    <row r="33" spans="1:4">
      <c r="A33" s="13" t="s">
        <v>96</v>
      </c>
      <c r="B33" s="14" t="s">
        <v>97</v>
      </c>
      <c r="C33" s="11"/>
      <c r="D33" s="15" t="s">
        <v>98</v>
      </c>
    </row>
    <row r="34" spans="1:4">
      <c r="A34" s="13" t="s">
        <v>96</v>
      </c>
      <c r="B34" s="14" t="s">
        <v>99</v>
      </c>
      <c r="C34" s="11"/>
      <c r="D34" s="15" t="s">
        <v>100</v>
      </c>
    </row>
    <row r="35" spans="1:4">
      <c r="A35" s="13" t="s">
        <v>101</v>
      </c>
      <c r="B35" s="14" t="s">
        <v>102</v>
      </c>
      <c r="C35" s="11"/>
      <c r="D35" s="15" t="s">
        <v>103</v>
      </c>
    </row>
    <row r="36" spans="1:4">
      <c r="A36" s="13" t="s">
        <v>101</v>
      </c>
      <c r="B36" s="14" t="s">
        <v>104</v>
      </c>
      <c r="C36" s="11"/>
      <c r="D36" s="15" t="s">
        <v>105</v>
      </c>
    </row>
    <row r="37" spans="1:4">
      <c r="A37" s="13" t="s">
        <v>106</v>
      </c>
      <c r="B37" s="14" t="s">
        <v>107</v>
      </c>
      <c r="C37" s="11"/>
      <c r="D37" s="15" t="s">
        <v>108</v>
      </c>
    </row>
    <row r="38" spans="1:4">
      <c r="A38" s="13" t="s">
        <v>106</v>
      </c>
      <c r="B38" s="14" t="s">
        <v>109</v>
      </c>
      <c r="C38" s="11"/>
      <c r="D38" s="15" t="s">
        <v>110</v>
      </c>
    </row>
    <row r="39" spans="1:4">
      <c r="A39" s="13" t="s">
        <v>106</v>
      </c>
      <c r="B39" s="14" t="s">
        <v>111</v>
      </c>
      <c r="C39" s="11"/>
      <c r="D39" s="11"/>
    </row>
    <row r="40" spans="1:4">
      <c r="A40" s="13" t="s">
        <v>106</v>
      </c>
      <c r="B40" s="14" t="s">
        <v>112</v>
      </c>
      <c r="C40" s="11"/>
      <c r="D40" s="11"/>
    </row>
    <row r="41" spans="1:4">
      <c r="A41" s="13" t="s">
        <v>113</v>
      </c>
      <c r="B41" s="14" t="s">
        <v>114</v>
      </c>
      <c r="C41" s="11"/>
      <c r="D41" s="11"/>
    </row>
    <row r="42" spans="1:4">
      <c r="A42" s="13" t="s">
        <v>113</v>
      </c>
      <c r="B42" s="14" t="s">
        <v>115</v>
      </c>
      <c r="C42" s="11"/>
      <c r="D42" s="11"/>
    </row>
    <row r="43" spans="1:4">
      <c r="A43" s="13" t="s">
        <v>116</v>
      </c>
      <c r="B43" s="14" t="s">
        <v>117</v>
      </c>
      <c r="C43" s="11"/>
      <c r="D43" s="11"/>
    </row>
    <row r="44" spans="1:4">
      <c r="A44" s="13" t="s">
        <v>116</v>
      </c>
      <c r="B44" s="14" t="s">
        <v>118</v>
      </c>
      <c r="C44" s="11"/>
      <c r="D44" s="11"/>
    </row>
    <row r="45" spans="1:4">
      <c r="A45" s="13" t="s">
        <v>116</v>
      </c>
      <c r="B45" s="14" t="s">
        <v>119</v>
      </c>
      <c r="C45" s="11"/>
      <c r="D45" s="11"/>
    </row>
    <row r="46" spans="1:4">
      <c r="A46" s="13" t="s">
        <v>116</v>
      </c>
      <c r="B46" s="14" t="s">
        <v>120</v>
      </c>
      <c r="C46" s="11"/>
      <c r="D46" s="11"/>
    </row>
    <row r="47" spans="1:4">
      <c r="A47" s="13" t="s">
        <v>116</v>
      </c>
      <c r="B47" s="14" t="s">
        <v>121</v>
      </c>
      <c r="C47" s="11"/>
      <c r="D47" s="11"/>
    </row>
    <row r="48" spans="1:4">
      <c r="A48" s="13" t="s">
        <v>122</v>
      </c>
      <c r="B48" s="14" t="s">
        <v>123</v>
      </c>
      <c r="C48" s="11"/>
      <c r="D48" s="11"/>
    </row>
    <row r="49" spans="1:4">
      <c r="A49" s="13" t="s">
        <v>122</v>
      </c>
      <c r="B49" s="14" t="s">
        <v>124</v>
      </c>
      <c r="C49" s="11"/>
      <c r="D49" s="11"/>
    </row>
    <row r="50" spans="1:4">
      <c r="A50" s="13" t="s">
        <v>122</v>
      </c>
      <c r="B50" s="14" t="s">
        <v>125</v>
      </c>
      <c r="C50" s="11"/>
      <c r="D50" s="11"/>
    </row>
    <row r="51" spans="1:4">
      <c r="A51" s="13" t="s">
        <v>122</v>
      </c>
      <c r="B51" s="14" t="s">
        <v>126</v>
      </c>
      <c r="C51" s="11"/>
      <c r="D51" s="11"/>
    </row>
    <row r="52" spans="1:4">
      <c r="A52" s="13" t="s">
        <v>122</v>
      </c>
      <c r="B52" s="14" t="s">
        <v>127</v>
      </c>
      <c r="C52" s="11"/>
      <c r="D52" s="11"/>
    </row>
    <row r="53" spans="1:4">
      <c r="A53" s="13" t="s">
        <v>128</v>
      </c>
      <c r="B53" s="14" t="s">
        <v>129</v>
      </c>
      <c r="C53" s="11"/>
      <c r="D53" s="11"/>
    </row>
    <row r="54" spans="1:4">
      <c r="A54" s="13" t="s">
        <v>130</v>
      </c>
      <c r="B54" s="14" t="s">
        <v>131</v>
      </c>
      <c r="C54" s="11"/>
      <c r="D54" s="11"/>
    </row>
    <row r="55" spans="1:4">
      <c r="A55" s="13" t="s">
        <v>132</v>
      </c>
      <c r="B55" s="14" t="s">
        <v>133</v>
      </c>
      <c r="C55" s="11"/>
      <c r="D55" s="11"/>
    </row>
    <row r="56" spans="1:4">
      <c r="A56" s="13" t="s">
        <v>134</v>
      </c>
      <c r="B56" s="14" t="s">
        <v>135</v>
      </c>
      <c r="C56" s="11"/>
      <c r="D56" s="11"/>
    </row>
    <row r="57" spans="1:4">
      <c r="A57" s="13" t="s">
        <v>134</v>
      </c>
      <c r="B57" s="14" t="s">
        <v>33</v>
      </c>
      <c r="C57" s="11"/>
      <c r="D57" s="11"/>
    </row>
    <row r="58" spans="1:4">
      <c r="A58" s="13" t="s">
        <v>134</v>
      </c>
      <c r="B58" s="14" t="s">
        <v>136</v>
      </c>
      <c r="C58" s="11"/>
      <c r="D58" s="11"/>
    </row>
    <row r="59" spans="1:4">
      <c r="A59" s="13" t="s">
        <v>134</v>
      </c>
      <c r="B59" s="14" t="s">
        <v>137</v>
      </c>
      <c r="C59" s="11"/>
      <c r="D59" s="11"/>
    </row>
    <row r="60" spans="1:4">
      <c r="A60" s="13" t="s">
        <v>134</v>
      </c>
      <c r="B60" s="14" t="s">
        <v>138</v>
      </c>
      <c r="C60" s="11"/>
      <c r="D60" s="11"/>
    </row>
    <row r="61" spans="1:4">
      <c r="A61" s="13" t="s">
        <v>134</v>
      </c>
      <c r="B61" s="14" t="s">
        <v>139</v>
      </c>
      <c r="C61" s="11"/>
      <c r="D61" s="11"/>
    </row>
    <row r="62" spans="1:4">
      <c r="A62" s="13" t="s">
        <v>134</v>
      </c>
      <c r="B62" s="14" t="s">
        <v>140</v>
      </c>
      <c r="C62" s="11"/>
      <c r="D62" s="11"/>
    </row>
    <row r="63" spans="1:4">
      <c r="A63" s="13" t="s">
        <v>134</v>
      </c>
      <c r="B63" s="14" t="s">
        <v>141</v>
      </c>
      <c r="C63" s="11"/>
      <c r="D63" s="11"/>
    </row>
    <row r="64" spans="1:4">
      <c r="A64" s="13" t="s">
        <v>134</v>
      </c>
      <c r="B64" s="14" t="s">
        <v>142</v>
      </c>
      <c r="C64" s="11"/>
      <c r="D64" s="11"/>
    </row>
    <row r="65" spans="1:4">
      <c r="A65" s="13" t="s">
        <v>134</v>
      </c>
      <c r="B65" s="14" t="s">
        <v>143</v>
      </c>
      <c r="C65" s="11"/>
      <c r="D65" s="11"/>
    </row>
    <row r="66" spans="1:4">
      <c r="A66" s="13" t="s">
        <v>134</v>
      </c>
      <c r="B66" s="14" t="s">
        <v>144</v>
      </c>
      <c r="C66" s="11"/>
      <c r="D66" s="11"/>
    </row>
    <row r="67" spans="1:4">
      <c r="A67" s="13" t="s">
        <v>134</v>
      </c>
      <c r="B67" s="14" t="s">
        <v>145</v>
      </c>
      <c r="C67" s="11"/>
      <c r="D67" s="11"/>
    </row>
    <row r="68" spans="1:4">
      <c r="A68" s="13" t="s">
        <v>134</v>
      </c>
      <c r="B68" s="14" t="s">
        <v>146</v>
      </c>
      <c r="C68" s="11"/>
      <c r="D68" s="11"/>
    </row>
    <row r="69" spans="1:4">
      <c r="A69" s="13" t="s">
        <v>134</v>
      </c>
      <c r="B69" s="14" t="s">
        <v>147</v>
      </c>
      <c r="C69" s="11"/>
      <c r="D69" s="11"/>
    </row>
    <row r="70" spans="1:4">
      <c r="A70" s="13" t="s">
        <v>134</v>
      </c>
      <c r="B70" s="14" t="s">
        <v>148</v>
      </c>
      <c r="C70" s="11"/>
      <c r="D70" s="11"/>
    </row>
    <row r="71" spans="1:4">
      <c r="A71" s="13" t="s">
        <v>134</v>
      </c>
      <c r="B71" s="14" t="s">
        <v>149</v>
      </c>
      <c r="C71" s="11"/>
      <c r="D71" s="11"/>
    </row>
    <row r="72" spans="1:4">
      <c r="A72" s="13" t="s">
        <v>134</v>
      </c>
      <c r="B72" s="14" t="s">
        <v>150</v>
      </c>
      <c r="C72" s="11"/>
      <c r="D72" s="11"/>
    </row>
    <row r="73" spans="1:4">
      <c r="A73" s="13" t="s">
        <v>134</v>
      </c>
      <c r="B73" s="14" t="s">
        <v>151</v>
      </c>
      <c r="C73" s="11"/>
      <c r="D73" s="11"/>
    </row>
    <row r="74" spans="1:4">
      <c r="A74" s="13" t="s">
        <v>134</v>
      </c>
      <c r="B74" s="14" t="s">
        <v>152</v>
      </c>
      <c r="C74" s="11"/>
      <c r="D74" s="11"/>
    </row>
    <row r="75" spans="1:4">
      <c r="A75" s="13" t="s">
        <v>153</v>
      </c>
      <c r="B75" s="14" t="s">
        <v>154</v>
      </c>
      <c r="C75" s="11"/>
      <c r="D75" s="11"/>
    </row>
    <row r="76" spans="1:4">
      <c r="A76" s="13" t="s">
        <v>153</v>
      </c>
      <c r="B76" s="14" t="s">
        <v>155</v>
      </c>
      <c r="C76" s="11"/>
      <c r="D76" s="11"/>
    </row>
    <row r="77" spans="1:4">
      <c r="A77" s="13" t="s">
        <v>153</v>
      </c>
      <c r="B77" s="14" t="s">
        <v>156</v>
      </c>
      <c r="C77" s="11"/>
      <c r="D77" s="11"/>
    </row>
    <row r="78" spans="1:4">
      <c r="A78" s="13" t="s">
        <v>153</v>
      </c>
      <c r="B78" s="14" t="s">
        <v>157</v>
      </c>
      <c r="C78" s="11"/>
      <c r="D78" s="11"/>
    </row>
    <row r="79" spans="1:4">
      <c r="A79" s="13" t="s">
        <v>153</v>
      </c>
      <c r="B79" s="14" t="s">
        <v>158</v>
      </c>
      <c r="C79" s="11"/>
      <c r="D79" s="11"/>
    </row>
    <row r="80" spans="1:4">
      <c r="A80" s="13" t="s">
        <v>153</v>
      </c>
      <c r="B80" s="14" t="s">
        <v>159</v>
      </c>
      <c r="C80" s="11"/>
      <c r="D80" s="11"/>
    </row>
    <row r="81" spans="1:4">
      <c r="A81" s="13" t="s">
        <v>153</v>
      </c>
      <c r="B81" s="14" t="s">
        <v>160</v>
      </c>
      <c r="C81" s="11"/>
      <c r="D81" s="11"/>
    </row>
    <row r="82" spans="1:4">
      <c r="A82" s="13" t="s">
        <v>153</v>
      </c>
      <c r="B82" s="14" t="s">
        <v>161</v>
      </c>
      <c r="C82" s="11"/>
      <c r="D82" s="11"/>
    </row>
    <row r="83" spans="1:4">
      <c r="A83" s="13" t="s">
        <v>153</v>
      </c>
      <c r="B83" s="14" t="s">
        <v>162</v>
      </c>
      <c r="C83" s="11"/>
      <c r="D83" s="11"/>
    </row>
    <row r="84" spans="1:4">
      <c r="A84" s="13" t="s">
        <v>153</v>
      </c>
      <c r="B84" s="14" t="s">
        <v>163</v>
      </c>
      <c r="C84" s="11"/>
      <c r="D84" s="11"/>
    </row>
    <row r="85" spans="1:4">
      <c r="A85" s="13" t="s">
        <v>153</v>
      </c>
      <c r="B85" s="14" t="s">
        <v>164</v>
      </c>
      <c r="C85" s="11"/>
      <c r="D85" s="11"/>
    </row>
    <row r="86" spans="1:4">
      <c r="A86" s="13" t="s">
        <v>153</v>
      </c>
      <c r="B86" s="16" t="s">
        <v>165</v>
      </c>
      <c r="C86" s="11"/>
      <c r="D86" s="11"/>
    </row>
    <row r="87" spans="1:4">
      <c r="A87" s="13" t="s">
        <v>153</v>
      </c>
      <c r="B87" s="14" t="s">
        <v>166</v>
      </c>
      <c r="C87" s="11"/>
      <c r="D87" s="11"/>
    </row>
    <row r="88" spans="1:4">
      <c r="A88" s="13" t="s">
        <v>153</v>
      </c>
      <c r="B88" s="14" t="s">
        <v>167</v>
      </c>
      <c r="C88" s="11"/>
      <c r="D88" s="11"/>
    </row>
    <row r="89" spans="1:4">
      <c r="A89" s="13" t="s">
        <v>153</v>
      </c>
      <c r="B89" s="14" t="s">
        <v>168</v>
      </c>
      <c r="C89" s="11"/>
      <c r="D89" s="11"/>
    </row>
    <row r="90" spans="1:4">
      <c r="A90" s="13" t="s">
        <v>153</v>
      </c>
      <c r="B90" s="14" t="s">
        <v>169</v>
      </c>
      <c r="C90" s="11"/>
      <c r="D90" s="11"/>
    </row>
    <row r="91" spans="1:4">
      <c r="A91" s="13" t="s">
        <v>153</v>
      </c>
      <c r="B91" s="14" t="s">
        <v>170</v>
      </c>
      <c r="C91" s="11"/>
      <c r="D91" s="11"/>
    </row>
    <row r="92" spans="1:4">
      <c r="A92" s="13" t="s">
        <v>153</v>
      </c>
      <c r="B92" s="14" t="s">
        <v>171</v>
      </c>
      <c r="C92" s="11"/>
      <c r="D92" s="11"/>
    </row>
    <row r="93" spans="1:4">
      <c r="A93" s="13" t="s">
        <v>153</v>
      </c>
      <c r="B93" s="14" t="s">
        <v>172</v>
      </c>
      <c r="C93" s="11"/>
      <c r="D93" s="11"/>
    </row>
    <row r="94" spans="1:4">
      <c r="A94" s="13" t="s">
        <v>153</v>
      </c>
      <c r="B94" s="14" t="s">
        <v>173</v>
      </c>
      <c r="C94" s="11"/>
      <c r="D94" s="11"/>
    </row>
    <row r="95" spans="1:4">
      <c r="A95" s="13" t="s">
        <v>174</v>
      </c>
      <c r="B95" s="14" t="s">
        <v>175</v>
      </c>
      <c r="C95" s="11"/>
      <c r="D95" s="11"/>
    </row>
    <row r="96" spans="1:4">
      <c r="A96" s="13" t="s">
        <v>174</v>
      </c>
      <c r="B96" s="14" t="s">
        <v>176</v>
      </c>
      <c r="C96" s="11"/>
      <c r="D96" s="11"/>
    </row>
    <row r="97" spans="1:4">
      <c r="A97" s="13" t="s">
        <v>174</v>
      </c>
      <c r="B97" s="14" t="s">
        <v>177</v>
      </c>
      <c r="C97" s="11"/>
      <c r="D97" s="11"/>
    </row>
    <row r="98" spans="1:4">
      <c r="A98" s="13" t="s">
        <v>174</v>
      </c>
      <c r="B98" s="14" t="s">
        <v>178</v>
      </c>
      <c r="C98" s="11"/>
      <c r="D98" s="11"/>
    </row>
    <row r="99" spans="1:4">
      <c r="A99" s="13" t="s">
        <v>174</v>
      </c>
      <c r="B99" s="14" t="s">
        <v>179</v>
      </c>
      <c r="C99" s="11"/>
      <c r="D99" s="11"/>
    </row>
    <row r="100" spans="1:4">
      <c r="A100" s="13" t="s">
        <v>174</v>
      </c>
      <c r="B100" s="14" t="s">
        <v>180</v>
      </c>
      <c r="C100" s="11"/>
      <c r="D100" s="11"/>
    </row>
    <row r="101" spans="1:4">
      <c r="A101" s="13" t="s">
        <v>174</v>
      </c>
      <c r="B101" s="14" t="s">
        <v>181</v>
      </c>
      <c r="C101" s="11"/>
      <c r="D101" s="11"/>
    </row>
    <row r="102" spans="1:4">
      <c r="A102" s="13" t="s">
        <v>174</v>
      </c>
      <c r="B102" s="14" t="s">
        <v>182</v>
      </c>
      <c r="C102" s="11"/>
      <c r="D102" s="11"/>
    </row>
    <row r="103" spans="1:4">
      <c r="A103" s="13" t="s">
        <v>174</v>
      </c>
      <c r="B103" s="14" t="s">
        <v>183</v>
      </c>
      <c r="C103" s="11"/>
      <c r="D103" s="11"/>
    </row>
    <row r="104" spans="1:4">
      <c r="A104" s="13" t="s">
        <v>174</v>
      </c>
      <c r="B104" s="14" t="s">
        <v>184</v>
      </c>
      <c r="C104" s="11"/>
      <c r="D104" s="11"/>
    </row>
    <row r="105" spans="1:4">
      <c r="A105" s="13" t="s">
        <v>174</v>
      </c>
      <c r="B105" s="14" t="s">
        <v>185</v>
      </c>
      <c r="C105" s="11"/>
      <c r="D105" s="11"/>
    </row>
    <row r="106" spans="1:4">
      <c r="A106" s="13" t="s">
        <v>174</v>
      </c>
      <c r="B106" s="14" t="s">
        <v>186</v>
      </c>
      <c r="C106" s="11"/>
      <c r="D106" s="11"/>
    </row>
    <row r="107" spans="1:4">
      <c r="A107" s="13" t="s">
        <v>174</v>
      </c>
      <c r="B107" s="14" t="s">
        <v>187</v>
      </c>
      <c r="C107" s="11"/>
      <c r="D107" s="11"/>
    </row>
    <row r="108" spans="1:4">
      <c r="A108" s="13" t="s">
        <v>174</v>
      </c>
      <c r="B108" s="14" t="s">
        <v>188</v>
      </c>
      <c r="C108" s="11"/>
      <c r="D108" s="11"/>
    </row>
    <row r="109" spans="1:4">
      <c r="A109" s="13" t="s">
        <v>174</v>
      </c>
      <c r="B109" s="14" t="s">
        <v>189</v>
      </c>
      <c r="C109" s="11"/>
      <c r="D109" s="11"/>
    </row>
    <row r="110" spans="1:4">
      <c r="A110" s="13" t="s">
        <v>174</v>
      </c>
      <c r="B110" s="14" t="s">
        <v>190</v>
      </c>
      <c r="C110" s="11"/>
      <c r="D110" s="11"/>
    </row>
    <row r="111" spans="1:4">
      <c r="A111" s="13" t="s">
        <v>174</v>
      </c>
      <c r="B111" s="14" t="s">
        <v>191</v>
      </c>
      <c r="C111" s="11"/>
      <c r="D111" s="11"/>
    </row>
    <row r="112" spans="1:4">
      <c r="A112" s="13" t="s">
        <v>192</v>
      </c>
      <c r="B112" s="14" t="s">
        <v>193</v>
      </c>
      <c r="C112" s="11"/>
      <c r="D112" s="11"/>
    </row>
    <row r="113" spans="1:4">
      <c r="A113" s="13" t="s">
        <v>192</v>
      </c>
      <c r="B113" s="14" t="s">
        <v>194</v>
      </c>
      <c r="C113" s="11"/>
      <c r="D113" s="11"/>
    </row>
    <row r="114" spans="1:4">
      <c r="A114" s="13" t="s">
        <v>192</v>
      </c>
      <c r="B114" s="14" t="s">
        <v>195</v>
      </c>
      <c r="C114" s="11"/>
      <c r="D114" s="11"/>
    </row>
    <row r="115" spans="1:4">
      <c r="A115" s="13" t="s">
        <v>192</v>
      </c>
      <c r="B115" s="17" t="s">
        <v>196</v>
      </c>
      <c r="C115" s="11"/>
      <c r="D115" s="11"/>
    </row>
    <row r="116" spans="1:4">
      <c r="A116" s="13" t="s">
        <v>192</v>
      </c>
      <c r="B116" s="14" t="s">
        <v>197</v>
      </c>
      <c r="C116" s="11"/>
      <c r="D116" s="11"/>
    </row>
    <row r="117" spans="1:4">
      <c r="A117" s="13" t="s">
        <v>192</v>
      </c>
      <c r="B117" s="14" t="s">
        <v>198</v>
      </c>
      <c r="C117" s="11"/>
      <c r="D117" s="11"/>
    </row>
    <row r="118" spans="1:4">
      <c r="A118" s="13" t="s">
        <v>192</v>
      </c>
      <c r="B118" s="14" t="s">
        <v>199</v>
      </c>
      <c r="C118" s="11"/>
      <c r="D118" s="11"/>
    </row>
    <row r="119" spans="1:4">
      <c r="A119" s="13" t="s">
        <v>192</v>
      </c>
      <c r="B119" s="14" t="s">
        <v>200</v>
      </c>
      <c r="C119" s="11"/>
      <c r="D119" s="11"/>
    </row>
    <row r="120" spans="1:4">
      <c r="A120" s="13" t="s">
        <v>192</v>
      </c>
      <c r="B120" s="14" t="s">
        <v>201</v>
      </c>
      <c r="C120" s="11"/>
      <c r="D120" s="11"/>
    </row>
    <row r="121" spans="1:4">
      <c r="A121" s="13" t="s">
        <v>192</v>
      </c>
      <c r="B121" s="14" t="s">
        <v>202</v>
      </c>
      <c r="C121" s="11"/>
      <c r="D121" s="11"/>
    </row>
    <row r="122" spans="1:4">
      <c r="A122" s="13" t="s">
        <v>192</v>
      </c>
      <c r="B122" s="14" t="s">
        <v>203</v>
      </c>
      <c r="C122" s="11"/>
      <c r="D122" s="11"/>
    </row>
    <row r="123" spans="1:4">
      <c r="A123" s="13" t="s">
        <v>192</v>
      </c>
      <c r="B123" s="14" t="s">
        <v>204</v>
      </c>
      <c r="C123" s="11"/>
      <c r="D123" s="11"/>
    </row>
    <row r="124" spans="1:4">
      <c r="A124" s="13" t="s">
        <v>192</v>
      </c>
      <c r="B124" s="14" t="s">
        <v>205</v>
      </c>
      <c r="C124" s="11"/>
      <c r="D124" s="11"/>
    </row>
    <row r="125" spans="1:4">
      <c r="A125" s="13" t="s">
        <v>192</v>
      </c>
      <c r="B125" s="14" t="s">
        <v>206</v>
      </c>
      <c r="C125" s="11"/>
      <c r="D125" s="11"/>
    </row>
    <row r="126" spans="1:4">
      <c r="A126" s="13" t="s">
        <v>192</v>
      </c>
      <c r="B126" s="14" t="s">
        <v>207</v>
      </c>
      <c r="C126" s="11"/>
      <c r="D126" s="11"/>
    </row>
    <row r="127" spans="1:4">
      <c r="A127" s="13" t="s">
        <v>192</v>
      </c>
      <c r="B127" s="14" t="s">
        <v>208</v>
      </c>
      <c r="C127" s="11"/>
      <c r="D127" s="11"/>
    </row>
    <row r="128" spans="1:4">
      <c r="A128" s="13" t="s">
        <v>192</v>
      </c>
      <c r="B128" s="14" t="s">
        <v>209</v>
      </c>
      <c r="C128" s="11"/>
      <c r="D128" s="11"/>
    </row>
    <row r="129" spans="1:4">
      <c r="A129" s="13" t="s">
        <v>192</v>
      </c>
      <c r="B129" s="17" t="s">
        <v>210</v>
      </c>
      <c r="C129" s="11"/>
      <c r="D129" s="11"/>
    </row>
    <row r="130" spans="1:4">
      <c r="A130" s="13" t="s">
        <v>192</v>
      </c>
      <c r="B130" s="17" t="s">
        <v>211</v>
      </c>
      <c r="C130" s="11"/>
      <c r="D130" s="11"/>
    </row>
    <row r="131" spans="1:4">
      <c r="A131" s="13" t="s">
        <v>192</v>
      </c>
      <c r="B131" s="17" t="s">
        <v>212</v>
      </c>
      <c r="C131" s="11"/>
      <c r="D131" s="11"/>
    </row>
    <row r="132" spans="1:4">
      <c r="A132" s="13" t="s">
        <v>213</v>
      </c>
      <c r="B132" s="14" t="s">
        <v>214</v>
      </c>
      <c r="C132" s="11"/>
      <c r="D132" s="11"/>
    </row>
    <row r="133" spans="1:4">
      <c r="A133" s="13" t="s">
        <v>213</v>
      </c>
      <c r="B133" s="14" t="s">
        <v>215</v>
      </c>
      <c r="C133" s="11"/>
      <c r="D133" s="11"/>
    </row>
    <row r="134" spans="1:4">
      <c r="A134" s="13" t="s">
        <v>213</v>
      </c>
      <c r="B134" s="14" t="s">
        <v>216</v>
      </c>
      <c r="C134" s="11"/>
      <c r="D134" s="11"/>
    </row>
    <row r="135" spans="1:4">
      <c r="A135" s="13" t="s">
        <v>213</v>
      </c>
      <c r="B135" s="14" t="s">
        <v>217</v>
      </c>
      <c r="C135" s="11"/>
      <c r="D135" s="11"/>
    </row>
    <row r="136" spans="1:4">
      <c r="A136" s="13" t="s">
        <v>213</v>
      </c>
      <c r="B136" s="14" t="s">
        <v>218</v>
      </c>
      <c r="C136" s="11"/>
      <c r="D136" s="11"/>
    </row>
    <row r="137" spans="1:4">
      <c r="A137" s="13" t="s">
        <v>213</v>
      </c>
      <c r="B137" s="14" t="s">
        <v>219</v>
      </c>
      <c r="C137" s="11"/>
      <c r="D137" s="11"/>
    </row>
    <row r="138" spans="1:4">
      <c r="A138" s="13" t="s">
        <v>213</v>
      </c>
      <c r="B138" s="14" t="s">
        <v>220</v>
      </c>
      <c r="C138" s="11"/>
      <c r="D138" s="11"/>
    </row>
    <row r="139" spans="1:4">
      <c r="A139" s="13" t="s">
        <v>213</v>
      </c>
      <c r="B139" s="14" t="s">
        <v>221</v>
      </c>
      <c r="C139" s="11"/>
      <c r="D139" s="11"/>
    </row>
    <row r="140" spans="1:4">
      <c r="A140" s="13" t="s">
        <v>222</v>
      </c>
      <c r="B140" s="14" t="s">
        <v>223</v>
      </c>
      <c r="C140" s="11"/>
      <c r="D140" s="11"/>
    </row>
    <row r="141" spans="1:4">
      <c r="A141" s="13" t="s">
        <v>222</v>
      </c>
      <c r="B141" s="14" t="s">
        <v>224</v>
      </c>
      <c r="C141" s="11"/>
      <c r="D141" s="11"/>
    </row>
    <row r="142" spans="1:4">
      <c r="A142" s="13" t="s">
        <v>222</v>
      </c>
      <c r="B142" s="14" t="s">
        <v>225</v>
      </c>
      <c r="C142" s="11"/>
      <c r="D142" s="11"/>
    </row>
    <row r="143" spans="1:4">
      <c r="A143" s="13" t="s">
        <v>222</v>
      </c>
      <c r="B143" s="14" t="s">
        <v>226</v>
      </c>
      <c r="C143" s="11"/>
      <c r="D143" s="11"/>
    </row>
    <row r="144" spans="1:4">
      <c r="A144" s="13" t="s">
        <v>222</v>
      </c>
      <c r="B144" s="14" t="s">
        <v>227</v>
      </c>
      <c r="C144" s="11"/>
      <c r="D144" s="11"/>
    </row>
    <row r="145" spans="1:4">
      <c r="A145" s="13" t="s">
        <v>222</v>
      </c>
      <c r="B145" s="14" t="s">
        <v>228</v>
      </c>
      <c r="C145" s="11"/>
      <c r="D145" s="11"/>
    </row>
    <row r="146" spans="1:4">
      <c r="A146" s="13" t="s">
        <v>222</v>
      </c>
      <c r="B146" s="14" t="s">
        <v>229</v>
      </c>
      <c r="C146" s="11"/>
      <c r="D146" s="11"/>
    </row>
    <row r="147" spans="1:4">
      <c r="A147" s="13" t="s">
        <v>222</v>
      </c>
      <c r="B147" s="14" t="s">
        <v>230</v>
      </c>
      <c r="C147" s="11"/>
      <c r="D147" s="11"/>
    </row>
    <row r="148" spans="1:4">
      <c r="A148" s="13" t="s">
        <v>222</v>
      </c>
      <c r="B148" s="14" t="s">
        <v>231</v>
      </c>
      <c r="C148" s="11"/>
      <c r="D148" s="11"/>
    </row>
    <row r="149" spans="1:4">
      <c r="A149" s="13" t="s">
        <v>222</v>
      </c>
      <c r="B149" s="14" t="s">
        <v>232</v>
      </c>
      <c r="C149" s="11"/>
      <c r="D149" s="11"/>
    </row>
    <row r="150" spans="1:4">
      <c r="A150" s="13" t="s">
        <v>222</v>
      </c>
      <c r="B150" s="14" t="s">
        <v>233</v>
      </c>
      <c r="C150" s="11"/>
      <c r="D150" s="11"/>
    </row>
    <row r="151" spans="1:4">
      <c r="A151" s="13" t="s">
        <v>222</v>
      </c>
      <c r="B151" s="14" t="s">
        <v>234</v>
      </c>
      <c r="C151" s="11"/>
      <c r="D151" s="11"/>
    </row>
    <row r="152" spans="1:4">
      <c r="A152" s="13" t="s">
        <v>222</v>
      </c>
      <c r="B152" s="14" t="s">
        <v>235</v>
      </c>
      <c r="C152" s="11"/>
      <c r="D152" s="11"/>
    </row>
    <row r="153" spans="1:4">
      <c r="A153" s="13" t="s">
        <v>222</v>
      </c>
      <c r="B153" s="14" t="s">
        <v>236</v>
      </c>
      <c r="C153" s="11"/>
      <c r="D153" s="11"/>
    </row>
    <row r="154" spans="1:4">
      <c r="A154" s="13" t="s">
        <v>222</v>
      </c>
      <c r="B154" s="14" t="s">
        <v>237</v>
      </c>
      <c r="C154" s="11"/>
      <c r="D154" s="11"/>
    </row>
    <row r="155" spans="1:4">
      <c r="A155" s="13" t="s">
        <v>222</v>
      </c>
      <c r="B155" s="14" t="s">
        <v>238</v>
      </c>
      <c r="C155" s="11"/>
      <c r="D155" s="11"/>
    </row>
    <row r="156" spans="1:4">
      <c r="A156" s="13" t="s">
        <v>222</v>
      </c>
      <c r="B156" s="14" t="s">
        <v>239</v>
      </c>
      <c r="C156" s="11"/>
      <c r="D156" s="11"/>
    </row>
    <row r="157" spans="1:4">
      <c r="A157" s="13" t="s">
        <v>222</v>
      </c>
      <c r="B157" s="14" t="s">
        <v>240</v>
      </c>
      <c r="C157" s="11"/>
      <c r="D157" s="11"/>
    </row>
    <row r="158" spans="1:4">
      <c r="A158" s="13" t="s">
        <v>222</v>
      </c>
      <c r="B158" s="14" t="s">
        <v>241</v>
      </c>
      <c r="C158" s="11"/>
      <c r="D158" s="11"/>
    </row>
    <row r="159" spans="1:4">
      <c r="A159" s="13" t="s">
        <v>222</v>
      </c>
      <c r="B159" s="14" t="s">
        <v>242</v>
      </c>
      <c r="C159" s="11"/>
      <c r="D159" s="11"/>
    </row>
    <row r="160" spans="1:4">
      <c r="A160" s="13" t="s">
        <v>222</v>
      </c>
      <c r="B160" s="14" t="s">
        <v>243</v>
      </c>
      <c r="C160" s="11"/>
      <c r="D160" s="11"/>
    </row>
    <row r="161" spans="1:4">
      <c r="A161" s="13" t="s">
        <v>222</v>
      </c>
      <c r="B161" s="14" t="s">
        <v>244</v>
      </c>
      <c r="C161" s="11"/>
      <c r="D161" s="11"/>
    </row>
    <row r="162" spans="1:4">
      <c r="A162" s="13" t="s">
        <v>222</v>
      </c>
      <c r="B162" s="14" t="s">
        <v>245</v>
      </c>
      <c r="C162" s="11"/>
      <c r="D162" s="11"/>
    </row>
    <row r="163" spans="1:4">
      <c r="A163" s="13" t="s">
        <v>222</v>
      </c>
      <c r="B163" s="14" t="s">
        <v>246</v>
      </c>
      <c r="C163" s="11"/>
      <c r="D163" s="11"/>
    </row>
    <row r="164" spans="1:4">
      <c r="A164" s="13" t="s">
        <v>222</v>
      </c>
      <c r="B164" s="14" t="s">
        <v>247</v>
      </c>
      <c r="C164" s="11"/>
      <c r="D164" s="11"/>
    </row>
    <row r="165" spans="1:4">
      <c r="A165" s="13" t="s">
        <v>222</v>
      </c>
      <c r="B165" s="14" t="s">
        <v>248</v>
      </c>
      <c r="C165" s="11"/>
      <c r="D165" s="11"/>
    </row>
    <row r="166" spans="1:4">
      <c r="A166" s="13" t="s">
        <v>222</v>
      </c>
      <c r="B166" s="14" t="s">
        <v>249</v>
      </c>
      <c r="C166" s="11"/>
      <c r="D166" s="11"/>
    </row>
    <row r="167" spans="1:4">
      <c r="A167" s="13" t="s">
        <v>222</v>
      </c>
      <c r="B167" s="14" t="s">
        <v>250</v>
      </c>
      <c r="C167" s="11"/>
      <c r="D167" s="11"/>
    </row>
    <row r="168" spans="1:4">
      <c r="A168" s="13" t="s">
        <v>222</v>
      </c>
      <c r="B168" s="14" t="s">
        <v>251</v>
      </c>
      <c r="C168" s="11"/>
      <c r="D168" s="11"/>
    </row>
    <row r="169" spans="1:4">
      <c r="A169" s="13" t="s">
        <v>222</v>
      </c>
      <c r="B169" s="14" t="s">
        <v>252</v>
      </c>
      <c r="C169" s="11"/>
      <c r="D169" s="11"/>
    </row>
    <row r="170" spans="1:4">
      <c r="A170" s="13" t="s">
        <v>253</v>
      </c>
      <c r="B170" s="14" t="s">
        <v>254</v>
      </c>
      <c r="C170" s="11"/>
      <c r="D170" s="11"/>
    </row>
    <row r="171" spans="1:4">
      <c r="A171" s="13" t="s">
        <v>253</v>
      </c>
      <c r="B171" s="14" t="s">
        <v>255</v>
      </c>
      <c r="C171" s="11"/>
      <c r="D171" s="11"/>
    </row>
    <row r="172" spans="1:4">
      <c r="A172" s="13" t="s">
        <v>253</v>
      </c>
      <c r="B172" s="14" t="s">
        <v>256</v>
      </c>
      <c r="C172" s="11"/>
      <c r="D172" s="11"/>
    </row>
    <row r="173" spans="1:4">
      <c r="A173" s="13" t="s">
        <v>253</v>
      </c>
      <c r="B173" s="14" t="s">
        <v>257</v>
      </c>
      <c r="C173" s="11"/>
      <c r="D173" s="11"/>
    </row>
    <row r="174" spans="1:4">
      <c r="A174" s="13" t="s">
        <v>253</v>
      </c>
      <c r="B174" s="14" t="s">
        <v>258</v>
      </c>
      <c r="C174" s="11"/>
      <c r="D174" s="11"/>
    </row>
    <row r="175" spans="1:4">
      <c r="A175" s="13" t="s">
        <v>253</v>
      </c>
      <c r="B175" s="14" t="s">
        <v>259</v>
      </c>
      <c r="C175" s="11"/>
      <c r="D175" s="11"/>
    </row>
    <row r="176" spans="1:4">
      <c r="A176" s="13" t="s">
        <v>253</v>
      </c>
      <c r="B176" s="14" t="s">
        <v>260</v>
      </c>
      <c r="C176" s="11"/>
      <c r="D176" s="11"/>
    </row>
    <row r="177" spans="1:4">
      <c r="A177" s="13" t="s">
        <v>253</v>
      </c>
      <c r="B177" s="14" t="s">
        <v>261</v>
      </c>
      <c r="C177" s="11"/>
      <c r="D177" s="11"/>
    </row>
    <row r="178" spans="1:4">
      <c r="A178" s="13" t="s">
        <v>253</v>
      </c>
      <c r="B178" s="14" t="s">
        <v>262</v>
      </c>
      <c r="C178" s="11"/>
      <c r="D178" s="11"/>
    </row>
    <row r="179" spans="1:4">
      <c r="A179" s="13" t="s">
        <v>253</v>
      </c>
      <c r="B179" s="14" t="s">
        <v>263</v>
      </c>
      <c r="C179" s="11"/>
      <c r="D179" s="11"/>
    </row>
    <row r="180" spans="1:4">
      <c r="A180" s="13" t="s">
        <v>253</v>
      </c>
      <c r="B180" s="14" t="s">
        <v>264</v>
      </c>
      <c r="C180" s="11"/>
      <c r="D180" s="11"/>
    </row>
    <row r="181" spans="1:4">
      <c r="A181" s="13" t="s">
        <v>265</v>
      </c>
      <c r="B181" s="14" t="s">
        <v>266</v>
      </c>
      <c r="C181" s="11"/>
      <c r="D181" s="11"/>
    </row>
    <row r="182" spans="1:4">
      <c r="A182" s="13" t="s">
        <v>265</v>
      </c>
      <c r="B182" s="14" t="s">
        <v>267</v>
      </c>
      <c r="C182" s="11"/>
      <c r="D182" s="11"/>
    </row>
    <row r="183" spans="1:4">
      <c r="A183" s="13" t="s">
        <v>265</v>
      </c>
      <c r="B183" s="14" t="s">
        <v>268</v>
      </c>
      <c r="C183" s="11"/>
      <c r="D183" s="11"/>
    </row>
    <row r="184" spans="1:4">
      <c r="A184" s="13" t="s">
        <v>265</v>
      </c>
      <c r="B184" s="14" t="s">
        <v>269</v>
      </c>
      <c r="C184" s="11"/>
      <c r="D184" s="11"/>
    </row>
    <row r="185" spans="1:4">
      <c r="A185" s="13" t="s">
        <v>265</v>
      </c>
      <c r="B185" s="14" t="s">
        <v>270</v>
      </c>
      <c r="C185" s="11"/>
      <c r="D185" s="11"/>
    </row>
    <row r="186" spans="1:4">
      <c r="A186" s="13" t="s">
        <v>265</v>
      </c>
      <c r="B186" s="14" t="s">
        <v>271</v>
      </c>
      <c r="C186" s="11"/>
      <c r="D186" s="11"/>
    </row>
    <row r="187" spans="1:4">
      <c r="A187" s="13" t="s">
        <v>265</v>
      </c>
      <c r="B187" s="14" t="s">
        <v>272</v>
      </c>
      <c r="C187" s="11"/>
      <c r="D187" s="11"/>
    </row>
    <row r="188" spans="1:4">
      <c r="A188" s="13" t="s">
        <v>265</v>
      </c>
      <c r="B188" s="14" t="s">
        <v>273</v>
      </c>
      <c r="C188" s="11"/>
      <c r="D188" s="11"/>
    </row>
    <row r="189" spans="1:4">
      <c r="A189" s="13" t="s">
        <v>265</v>
      </c>
      <c r="B189" s="14" t="s">
        <v>274</v>
      </c>
      <c r="C189" s="11"/>
      <c r="D189" s="11"/>
    </row>
    <row r="190" spans="1:4">
      <c r="A190" s="13" t="s">
        <v>265</v>
      </c>
      <c r="B190" s="14" t="s">
        <v>275</v>
      </c>
      <c r="C190" s="11"/>
      <c r="D190" s="11"/>
    </row>
    <row r="191" spans="1:4">
      <c r="A191" s="13" t="s">
        <v>265</v>
      </c>
      <c r="B191" s="14" t="s">
        <v>276</v>
      </c>
      <c r="C191" s="11"/>
      <c r="D191" s="11"/>
    </row>
    <row r="192" spans="1:4">
      <c r="A192" s="13" t="s">
        <v>265</v>
      </c>
      <c r="B192" s="14" t="s">
        <v>277</v>
      </c>
      <c r="C192" s="11"/>
      <c r="D192" s="11"/>
    </row>
    <row r="193" spans="1:4">
      <c r="A193" s="13" t="s">
        <v>265</v>
      </c>
      <c r="B193" s="14" t="s">
        <v>278</v>
      </c>
      <c r="C193" s="11"/>
      <c r="D193" s="11"/>
    </row>
    <row r="194" spans="1:4">
      <c r="A194" s="13" t="s">
        <v>265</v>
      </c>
      <c r="B194" s="14" t="s">
        <v>279</v>
      </c>
      <c r="C194" s="11"/>
      <c r="D194" s="11"/>
    </row>
    <row r="195" spans="1:4">
      <c r="A195" s="13" t="s">
        <v>280</v>
      </c>
      <c r="B195" s="14" t="s">
        <v>281</v>
      </c>
      <c r="C195" s="11"/>
      <c r="D195" s="11"/>
    </row>
    <row r="196" spans="1:4">
      <c r="A196" s="13" t="s">
        <v>280</v>
      </c>
      <c r="B196" s="14" t="s">
        <v>282</v>
      </c>
      <c r="C196" s="11"/>
      <c r="D196" s="11"/>
    </row>
    <row r="197" spans="1:4">
      <c r="A197" s="13" t="s">
        <v>280</v>
      </c>
      <c r="B197" s="14" t="s">
        <v>283</v>
      </c>
      <c r="C197" s="11"/>
      <c r="D197" s="11"/>
    </row>
    <row r="198" spans="1:4">
      <c r="A198" s="13" t="s">
        <v>280</v>
      </c>
      <c r="B198" s="14" t="s">
        <v>284</v>
      </c>
      <c r="C198" s="11"/>
      <c r="D198" s="11"/>
    </row>
    <row r="199" spans="1:4">
      <c r="A199" s="13" t="s">
        <v>280</v>
      </c>
      <c r="B199" s="14" t="s">
        <v>285</v>
      </c>
      <c r="C199" s="11"/>
      <c r="D199" s="11"/>
    </row>
    <row r="200" spans="1:4">
      <c r="A200" s="13" t="s">
        <v>280</v>
      </c>
      <c r="B200" s="14" t="s">
        <v>286</v>
      </c>
      <c r="C200" s="11"/>
      <c r="D200" s="11"/>
    </row>
    <row r="201" spans="1:4">
      <c r="A201" s="13" t="s">
        <v>280</v>
      </c>
      <c r="B201" s="14" t="s">
        <v>287</v>
      </c>
      <c r="C201" s="11"/>
      <c r="D201" s="11"/>
    </row>
    <row r="202" spans="1:4">
      <c r="A202" s="13" t="s">
        <v>280</v>
      </c>
      <c r="B202" s="14" t="s">
        <v>288</v>
      </c>
      <c r="C202" s="11"/>
      <c r="D202" s="11"/>
    </row>
    <row r="203" spans="1:4">
      <c r="A203" s="13" t="s">
        <v>280</v>
      </c>
      <c r="B203" s="14" t="s">
        <v>289</v>
      </c>
      <c r="C203" s="11"/>
      <c r="D203" s="11"/>
    </row>
    <row r="204" spans="1:4">
      <c r="A204" s="13" t="s">
        <v>280</v>
      </c>
      <c r="B204" s="14" t="s">
        <v>290</v>
      </c>
      <c r="C204" s="11"/>
      <c r="D204" s="11"/>
    </row>
    <row r="205" spans="1:4">
      <c r="A205" s="13" t="s">
        <v>280</v>
      </c>
      <c r="B205" s="14" t="s">
        <v>291</v>
      </c>
      <c r="C205" s="11"/>
      <c r="D205" s="11"/>
    </row>
    <row r="206" spans="1:4">
      <c r="A206" s="13" t="s">
        <v>280</v>
      </c>
      <c r="B206" s="14" t="s">
        <v>292</v>
      </c>
      <c r="C206" s="11"/>
      <c r="D206" s="11"/>
    </row>
    <row r="207" spans="1:4">
      <c r="A207" s="13" t="s">
        <v>293</v>
      </c>
      <c r="B207" s="14" t="s">
        <v>294</v>
      </c>
      <c r="C207" s="11"/>
      <c r="D207" s="11"/>
    </row>
    <row r="208" spans="1:4">
      <c r="A208" s="13" t="s">
        <v>293</v>
      </c>
      <c r="B208" s="14" t="s">
        <v>295</v>
      </c>
      <c r="C208" s="11"/>
      <c r="D208" s="11"/>
    </row>
    <row r="209" spans="1:4">
      <c r="A209" s="13" t="s">
        <v>293</v>
      </c>
      <c r="B209" s="14" t="s">
        <v>296</v>
      </c>
      <c r="C209" s="11"/>
      <c r="D209" s="11"/>
    </row>
    <row r="210" spans="1:4">
      <c r="A210" s="13" t="s">
        <v>297</v>
      </c>
      <c r="B210" s="14" t="s">
        <v>298</v>
      </c>
      <c r="C210" s="11"/>
      <c r="D210" s="11"/>
    </row>
    <row r="211" spans="1:4">
      <c r="A211" s="13" t="s">
        <v>297</v>
      </c>
      <c r="B211" s="14" t="s">
        <v>299</v>
      </c>
      <c r="C211" s="11"/>
      <c r="D211" s="11"/>
    </row>
    <row r="212" spans="1:4">
      <c r="A212" s="13" t="s">
        <v>297</v>
      </c>
      <c r="B212" s="14" t="s">
        <v>300</v>
      </c>
      <c r="C212" s="11"/>
      <c r="D212" s="11"/>
    </row>
    <row r="213" spans="1:4">
      <c r="A213" s="13" t="s">
        <v>297</v>
      </c>
      <c r="B213" s="14" t="s">
        <v>301</v>
      </c>
      <c r="C213" s="11"/>
      <c r="D213" s="11"/>
    </row>
    <row r="214" spans="1:4">
      <c r="A214" s="13" t="s">
        <v>297</v>
      </c>
      <c r="B214" s="14" t="s">
        <v>302</v>
      </c>
      <c r="C214" s="11"/>
      <c r="D214" s="11"/>
    </row>
    <row r="215" spans="1:4">
      <c r="A215" s="13" t="s">
        <v>297</v>
      </c>
      <c r="B215" s="14" t="s">
        <v>303</v>
      </c>
      <c r="C215" s="11"/>
      <c r="D215" s="11"/>
    </row>
    <row r="216" spans="1:4">
      <c r="A216" s="13" t="s">
        <v>297</v>
      </c>
      <c r="B216" s="14" t="s">
        <v>304</v>
      </c>
      <c r="C216" s="11"/>
      <c r="D216" s="11"/>
    </row>
    <row r="217" spans="1:4">
      <c r="A217" s="13" t="s">
        <v>297</v>
      </c>
      <c r="B217" s="14" t="s">
        <v>305</v>
      </c>
      <c r="C217" s="11"/>
      <c r="D217" s="11"/>
    </row>
    <row r="218" spans="1:4">
      <c r="A218" s="13" t="s">
        <v>297</v>
      </c>
      <c r="B218" s="14" t="s">
        <v>306</v>
      </c>
      <c r="C218" s="11"/>
      <c r="D218" s="11"/>
    </row>
    <row r="219" spans="1:4">
      <c r="A219" s="13" t="s">
        <v>297</v>
      </c>
      <c r="B219" s="14" t="s">
        <v>307</v>
      </c>
      <c r="C219" s="11"/>
      <c r="D219" s="11"/>
    </row>
    <row r="220" spans="1:4">
      <c r="A220" s="13" t="s">
        <v>297</v>
      </c>
      <c r="B220" s="14" t="s">
        <v>308</v>
      </c>
      <c r="C220" s="11"/>
      <c r="D220" s="11"/>
    </row>
    <row r="221" spans="1:4">
      <c r="A221" s="13" t="s">
        <v>309</v>
      </c>
      <c r="B221" s="14" t="s">
        <v>310</v>
      </c>
      <c r="C221" s="11"/>
      <c r="D221" s="11"/>
    </row>
    <row r="222" spans="1:4">
      <c r="A222" s="13" t="s">
        <v>309</v>
      </c>
      <c r="B222" s="14" t="s">
        <v>311</v>
      </c>
      <c r="C222" s="11"/>
      <c r="D222" s="11"/>
    </row>
    <row r="223" spans="1:4">
      <c r="A223" s="13" t="s">
        <v>309</v>
      </c>
      <c r="B223" s="14" t="s">
        <v>312</v>
      </c>
      <c r="C223" s="11"/>
      <c r="D223" s="11"/>
    </row>
    <row r="224" spans="1:4">
      <c r="A224" s="13" t="s">
        <v>309</v>
      </c>
      <c r="B224" s="14" t="s">
        <v>313</v>
      </c>
      <c r="C224" s="11"/>
      <c r="D224" s="11"/>
    </row>
    <row r="225" spans="1:4">
      <c r="A225" s="13" t="s">
        <v>309</v>
      </c>
      <c r="B225" s="14" t="s">
        <v>314</v>
      </c>
      <c r="C225" s="11"/>
      <c r="D225" s="11"/>
    </row>
    <row r="226" spans="1:4">
      <c r="A226" s="13" t="s">
        <v>309</v>
      </c>
      <c r="B226" s="14" t="s">
        <v>315</v>
      </c>
      <c r="C226" s="11"/>
      <c r="D226" s="11"/>
    </row>
    <row r="227" spans="1:4">
      <c r="A227" s="13" t="s">
        <v>309</v>
      </c>
      <c r="B227" s="14" t="s">
        <v>316</v>
      </c>
      <c r="C227" s="11"/>
      <c r="D227" s="11"/>
    </row>
    <row r="228" spans="1:4">
      <c r="A228" s="13" t="s">
        <v>309</v>
      </c>
      <c r="B228" s="14" t="s">
        <v>317</v>
      </c>
      <c r="C228" s="11"/>
      <c r="D228" s="11"/>
    </row>
    <row r="229" spans="1:4">
      <c r="A229" s="13" t="s">
        <v>318</v>
      </c>
      <c r="B229" s="15" t="s">
        <v>88</v>
      </c>
      <c r="C229" s="11"/>
      <c r="D229" s="11"/>
    </row>
    <row r="230" spans="1:4">
      <c r="A230" s="13" t="s">
        <v>319</v>
      </c>
      <c r="B230" s="14" t="s">
        <v>320</v>
      </c>
      <c r="C230" s="11"/>
      <c r="D230" s="11"/>
    </row>
    <row r="231" spans="1:4">
      <c r="A231" s="13" t="s">
        <v>319</v>
      </c>
      <c r="B231" s="14" t="s">
        <v>321</v>
      </c>
      <c r="C231" s="11"/>
      <c r="D231" s="11"/>
    </row>
    <row r="232" spans="1:4">
      <c r="A232" s="13" t="s">
        <v>319</v>
      </c>
      <c r="B232" s="14" t="s">
        <v>322</v>
      </c>
      <c r="C232" s="11"/>
      <c r="D232" s="11"/>
    </row>
    <row r="233" spans="1:4">
      <c r="A233" s="13" t="s">
        <v>319</v>
      </c>
      <c r="B233" s="14" t="s">
        <v>323</v>
      </c>
      <c r="C233" s="11"/>
      <c r="D233" s="11"/>
    </row>
    <row r="234" spans="1:4">
      <c r="A234" s="13" t="s">
        <v>319</v>
      </c>
      <c r="B234" s="14" t="s">
        <v>324</v>
      </c>
      <c r="C234" s="11"/>
      <c r="D234" s="11"/>
    </row>
    <row r="235" spans="1:4">
      <c r="A235" s="13" t="s">
        <v>319</v>
      </c>
      <c r="B235" s="14" t="s">
        <v>325</v>
      </c>
      <c r="C235" s="11"/>
      <c r="D235" s="11"/>
    </row>
    <row r="236" spans="1:4">
      <c r="A236" s="13" t="s">
        <v>319</v>
      </c>
      <c r="B236" s="14" t="s">
        <v>326</v>
      </c>
      <c r="C236" s="11"/>
      <c r="D236" s="11"/>
    </row>
    <row r="237" spans="1:4">
      <c r="A237" s="13" t="s">
        <v>319</v>
      </c>
      <c r="B237" s="14" t="s">
        <v>327</v>
      </c>
      <c r="C237" s="11"/>
      <c r="D237" s="11"/>
    </row>
    <row r="238" spans="1:4">
      <c r="A238" s="13" t="s">
        <v>319</v>
      </c>
      <c r="B238" s="14" t="s">
        <v>328</v>
      </c>
      <c r="C238" s="11"/>
      <c r="D238" s="11"/>
    </row>
    <row r="239" spans="1:4">
      <c r="A239" s="13" t="s">
        <v>319</v>
      </c>
      <c r="B239" s="14" t="s">
        <v>329</v>
      </c>
      <c r="C239" s="11"/>
      <c r="D239" s="11"/>
    </row>
    <row r="240" spans="1:4">
      <c r="A240" s="13" t="s">
        <v>330</v>
      </c>
      <c r="B240" s="14" t="s">
        <v>331</v>
      </c>
      <c r="C240" s="11"/>
      <c r="D240" s="11"/>
    </row>
    <row r="241" spans="1:4">
      <c r="A241" s="13" t="s">
        <v>330</v>
      </c>
      <c r="B241" s="14" t="s">
        <v>332</v>
      </c>
      <c r="C241" s="11"/>
      <c r="D241" s="11"/>
    </row>
    <row r="242" spans="1:4">
      <c r="A242" s="13" t="s">
        <v>330</v>
      </c>
      <c r="B242" s="14" t="s">
        <v>333</v>
      </c>
      <c r="C242" s="11"/>
      <c r="D242" s="11"/>
    </row>
    <row r="243" spans="1:4">
      <c r="A243" s="13" t="s">
        <v>330</v>
      </c>
      <c r="B243" s="14" t="s">
        <v>334</v>
      </c>
      <c r="C243" s="11"/>
      <c r="D243" s="11"/>
    </row>
    <row r="244" spans="1:4">
      <c r="A244" s="13" t="s">
        <v>330</v>
      </c>
      <c r="B244" s="14" t="s">
        <v>335</v>
      </c>
      <c r="C244" s="11"/>
      <c r="D244" s="11"/>
    </row>
    <row r="245" spans="1:4">
      <c r="A245" s="13" t="s">
        <v>330</v>
      </c>
      <c r="B245" s="14" t="s">
        <v>336</v>
      </c>
      <c r="C245" s="11"/>
      <c r="D245" s="11"/>
    </row>
    <row r="246" spans="1:4">
      <c r="A246" s="13" t="s">
        <v>330</v>
      </c>
      <c r="B246" s="14" t="s">
        <v>337</v>
      </c>
      <c r="C246" s="11"/>
      <c r="D246" s="11"/>
    </row>
    <row r="247" spans="1:4">
      <c r="A247" s="13" t="s">
        <v>330</v>
      </c>
      <c r="B247" s="14" t="s">
        <v>338</v>
      </c>
      <c r="C247" s="11"/>
      <c r="D247" s="11"/>
    </row>
    <row r="248" spans="1:4">
      <c r="A248" s="13" t="s">
        <v>330</v>
      </c>
      <c r="B248" s="14" t="s">
        <v>339</v>
      </c>
      <c r="C248" s="11"/>
      <c r="D248" s="11"/>
    </row>
    <row r="249" spans="1:4">
      <c r="A249" s="13" t="s">
        <v>330</v>
      </c>
      <c r="B249" s="14" t="s">
        <v>340</v>
      </c>
      <c r="C249" s="11"/>
      <c r="D249" s="11"/>
    </row>
    <row r="250" spans="1:4">
      <c r="A250" s="13" t="s">
        <v>341</v>
      </c>
      <c r="B250" s="14" t="s">
        <v>342</v>
      </c>
      <c r="C250" s="11"/>
      <c r="D250" s="11"/>
    </row>
    <row r="251" spans="1:4">
      <c r="A251" s="13" t="s">
        <v>341</v>
      </c>
      <c r="B251" s="14" t="s">
        <v>343</v>
      </c>
      <c r="C251" s="11"/>
      <c r="D251" s="11"/>
    </row>
    <row r="252" spans="1:4">
      <c r="A252" s="13" t="s">
        <v>344</v>
      </c>
      <c r="B252" s="14" t="s">
        <v>345</v>
      </c>
      <c r="C252" s="11"/>
      <c r="D252" s="11"/>
    </row>
    <row r="253" spans="1:4">
      <c r="A253" s="13" t="s">
        <v>344</v>
      </c>
      <c r="B253" s="14" t="s">
        <v>346</v>
      </c>
      <c r="C253" s="11"/>
      <c r="D253" s="11"/>
    </row>
    <row r="254" spans="1:4">
      <c r="A254" s="13" t="s">
        <v>344</v>
      </c>
      <c r="B254" s="14" t="s">
        <v>347</v>
      </c>
      <c r="C254" s="11"/>
      <c r="D254" s="11"/>
    </row>
    <row r="255" spans="1:4">
      <c r="A255" s="13" t="s">
        <v>344</v>
      </c>
      <c r="B255" s="14" t="s">
        <v>348</v>
      </c>
      <c r="C255" s="11"/>
      <c r="D255" s="11"/>
    </row>
    <row r="256" spans="1:4">
      <c r="A256" s="13" t="s">
        <v>344</v>
      </c>
      <c r="B256" s="14" t="s">
        <v>349</v>
      </c>
      <c r="C256" s="11"/>
      <c r="D256" s="11"/>
    </row>
    <row r="257" spans="1:4">
      <c r="A257" s="13" t="s">
        <v>344</v>
      </c>
      <c r="B257" s="14" t="s">
        <v>350</v>
      </c>
      <c r="C257" s="11"/>
      <c r="D257" s="11"/>
    </row>
    <row r="258" spans="1:4">
      <c r="A258" s="13" t="s">
        <v>344</v>
      </c>
      <c r="B258" s="14" t="s">
        <v>351</v>
      </c>
      <c r="C258" s="11"/>
      <c r="D258" s="11"/>
    </row>
    <row r="259" spans="1:4">
      <c r="A259" s="13" t="s">
        <v>344</v>
      </c>
      <c r="B259" s="14" t="s">
        <v>352</v>
      </c>
      <c r="C259" s="11"/>
      <c r="D259" s="11"/>
    </row>
    <row r="260" spans="1:4">
      <c r="A260" s="13" t="s">
        <v>353</v>
      </c>
      <c r="B260" s="14" t="s">
        <v>354</v>
      </c>
      <c r="C260" s="11"/>
      <c r="D260" s="11"/>
    </row>
    <row r="261" spans="1:4">
      <c r="A261" s="13" t="s">
        <v>355</v>
      </c>
      <c r="B261" s="14" t="s">
        <v>356</v>
      </c>
      <c r="C261" s="11"/>
      <c r="D261" s="11"/>
    </row>
    <row r="262" spans="1:4">
      <c r="A262" s="13" t="s">
        <v>355</v>
      </c>
      <c r="B262" s="14" t="s">
        <v>357</v>
      </c>
      <c r="C262" s="11"/>
      <c r="D262" s="11"/>
    </row>
    <row r="263" spans="1:4">
      <c r="A263" s="13" t="s">
        <v>355</v>
      </c>
      <c r="B263" s="14" t="s">
        <v>358</v>
      </c>
      <c r="C263" s="11"/>
      <c r="D263" s="11"/>
    </row>
    <row r="264" spans="1:4">
      <c r="A264" s="13" t="s">
        <v>355</v>
      </c>
      <c r="B264" s="14" t="s">
        <v>359</v>
      </c>
      <c r="C264" s="11"/>
      <c r="D264" s="11"/>
    </row>
    <row r="265" spans="1:4">
      <c r="A265" s="13" t="s">
        <v>360</v>
      </c>
      <c r="B265" s="14" t="s">
        <v>361</v>
      </c>
      <c r="C265" s="11"/>
      <c r="D265" s="11"/>
    </row>
    <row r="266" spans="1:4">
      <c r="A266" s="13" t="s">
        <v>360</v>
      </c>
      <c r="B266" s="14" t="s">
        <v>362</v>
      </c>
      <c r="C266" s="11"/>
      <c r="D266" s="11"/>
    </row>
    <row r="267" spans="1:4">
      <c r="A267" s="13" t="s">
        <v>360</v>
      </c>
      <c r="B267" s="14" t="s">
        <v>363</v>
      </c>
      <c r="C267" s="11"/>
      <c r="D267" s="11"/>
    </row>
    <row r="268" spans="1:4">
      <c r="A268" s="13" t="s">
        <v>360</v>
      </c>
      <c r="B268" s="14" t="s">
        <v>364</v>
      </c>
      <c r="C268" s="11"/>
      <c r="D268" s="11"/>
    </row>
    <row r="269" spans="1:4">
      <c r="A269" s="13" t="s">
        <v>360</v>
      </c>
      <c r="B269" s="14" t="s">
        <v>365</v>
      </c>
      <c r="C269" s="11"/>
      <c r="D269" s="11"/>
    </row>
    <row r="270" spans="1:4">
      <c r="A270" s="13" t="s">
        <v>360</v>
      </c>
      <c r="B270" s="14" t="s">
        <v>366</v>
      </c>
      <c r="C270" s="11"/>
      <c r="D270" s="11"/>
    </row>
    <row r="271" spans="1:4">
      <c r="A271" s="13" t="s">
        <v>367</v>
      </c>
      <c r="B271" s="14" t="s">
        <v>368</v>
      </c>
      <c r="C271" s="11"/>
      <c r="D271" s="11"/>
    </row>
    <row r="272" spans="1:4">
      <c r="A272" s="13" t="s">
        <v>367</v>
      </c>
      <c r="B272" s="14" t="s">
        <v>369</v>
      </c>
      <c r="C272" s="11"/>
      <c r="D272" s="11"/>
    </row>
  </sheetData>
  <phoneticPr fontId="2" type="noConversion"/>
  <pageMargins left="0.7" right="0.7" top="0.75" bottom="0.75" header="0.3" footer="0.3"/>
  <pageSetup paperSize="9" orientation="portrait" r:id="rId1"/>
  <headerFooter>
    <oddFooter>&amp;C&amp;1#&amp;"Calibri"&amp;10&amp;KD89B2BConfidential - Company Proprietary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86"/>
  <sheetViews>
    <sheetView workbookViewId="0"/>
  </sheetViews>
  <sheetFormatPr defaultRowHeight="16.5"/>
  <cols>
    <col min="1" max="1" width="21.25" customWidth="1"/>
    <col min="2" max="2" width="41.375" customWidth="1"/>
  </cols>
  <sheetData>
    <row r="2" spans="1:2">
      <c r="A2" s="22" t="s">
        <v>376</v>
      </c>
      <c r="B2" s="15" t="s">
        <v>375</v>
      </c>
    </row>
    <row r="3" spans="1:2">
      <c r="A3" s="23"/>
      <c r="B3" s="15" t="s">
        <v>377</v>
      </c>
    </row>
    <row r="4" spans="1:2">
      <c r="A4" s="23"/>
      <c r="B4" s="15" t="s">
        <v>378</v>
      </c>
    </row>
    <row r="5" spans="1:2">
      <c r="A5" s="23"/>
      <c r="B5" s="15" t="s">
        <v>379</v>
      </c>
    </row>
    <row r="6" spans="1:2">
      <c r="A6" s="23"/>
      <c r="B6" s="15" t="s">
        <v>380</v>
      </c>
    </row>
    <row r="7" spans="1:2">
      <c r="A7" s="23"/>
      <c r="B7" s="15" t="s">
        <v>381</v>
      </c>
    </row>
    <row r="8" spans="1:2">
      <c r="A8" s="23"/>
      <c r="B8" s="15" t="s">
        <v>925</v>
      </c>
    </row>
    <row r="9" spans="1:2">
      <c r="A9" s="23"/>
      <c r="B9" s="15" t="s">
        <v>382</v>
      </c>
    </row>
    <row r="10" spans="1:2">
      <c r="A10" s="23"/>
      <c r="B10" s="15" t="s">
        <v>383</v>
      </c>
    </row>
    <row r="11" spans="1:2">
      <c r="A11" s="23"/>
      <c r="B11" s="15" t="s">
        <v>384</v>
      </c>
    </row>
    <row r="12" spans="1:2">
      <c r="A12" s="23"/>
      <c r="B12" s="15" t="s">
        <v>385</v>
      </c>
    </row>
    <row r="13" spans="1:2">
      <c r="A13" s="23"/>
      <c r="B13" s="15" t="s">
        <v>386</v>
      </c>
    </row>
    <row r="14" spans="1:2">
      <c r="A14" s="23"/>
      <c r="B14" s="15" t="s">
        <v>387</v>
      </c>
    </row>
    <row r="15" spans="1:2">
      <c r="A15" s="23"/>
      <c r="B15" s="15" t="s">
        <v>388</v>
      </c>
    </row>
    <row r="16" spans="1:2">
      <c r="A16" s="23"/>
      <c r="B16" s="15" t="s">
        <v>389</v>
      </c>
    </row>
    <row r="17" spans="1:2">
      <c r="A17" s="23"/>
      <c r="B17" s="15" t="s">
        <v>390</v>
      </c>
    </row>
    <row r="18" spans="1:2">
      <c r="A18" s="24"/>
      <c r="B18" s="15" t="s">
        <v>391</v>
      </c>
    </row>
    <row r="19" spans="1:2">
      <c r="A19" s="23" t="s">
        <v>393</v>
      </c>
      <c r="B19" s="15" t="s">
        <v>392</v>
      </c>
    </row>
    <row r="20" spans="1:2">
      <c r="A20" s="23"/>
      <c r="B20" s="15" t="s">
        <v>394</v>
      </c>
    </row>
    <row r="21" spans="1:2">
      <c r="A21" s="23"/>
      <c r="B21" s="15" t="s">
        <v>395</v>
      </c>
    </row>
    <row r="22" spans="1:2">
      <c r="A22" s="23"/>
      <c r="B22" s="15" t="s">
        <v>396</v>
      </c>
    </row>
    <row r="23" spans="1:2">
      <c r="A23" s="24"/>
      <c r="B23" s="15" t="s">
        <v>397</v>
      </c>
    </row>
    <row r="24" spans="1:2">
      <c r="A24" s="23" t="s">
        <v>373</v>
      </c>
      <c r="B24" s="15" t="s">
        <v>398</v>
      </c>
    </row>
    <row r="25" spans="1:2">
      <c r="A25" s="23"/>
      <c r="B25" s="15" t="s">
        <v>399</v>
      </c>
    </row>
    <row r="26" spans="1:2">
      <c r="A26" s="23"/>
      <c r="B26" s="15" t="s">
        <v>400</v>
      </c>
    </row>
    <row r="27" spans="1:2">
      <c r="A27" s="23"/>
      <c r="B27" s="15" t="s">
        <v>401</v>
      </c>
    </row>
    <row r="28" spans="1:2">
      <c r="A28" s="23"/>
      <c r="B28" s="15" t="s">
        <v>402</v>
      </c>
    </row>
    <row r="29" spans="1:2">
      <c r="A29" s="23"/>
      <c r="B29" s="15" t="s">
        <v>403</v>
      </c>
    </row>
    <row r="30" spans="1:2">
      <c r="A30" s="23"/>
      <c r="B30" s="15" t="s">
        <v>404</v>
      </c>
    </row>
    <row r="31" spans="1:2">
      <c r="A31" s="23"/>
      <c r="B31" s="15" t="s">
        <v>405</v>
      </c>
    </row>
    <row r="32" spans="1:2">
      <c r="A32" s="23"/>
      <c r="B32" s="15" t="s">
        <v>406</v>
      </c>
    </row>
    <row r="33" spans="1:2">
      <c r="A33" s="23"/>
      <c r="B33" s="15" t="s">
        <v>407</v>
      </c>
    </row>
    <row r="34" spans="1:2">
      <c r="A34" s="23"/>
      <c r="B34" s="15" t="s">
        <v>886</v>
      </c>
    </row>
    <row r="35" spans="1:2">
      <c r="A35" s="23"/>
      <c r="B35" s="15" t="s">
        <v>408</v>
      </c>
    </row>
    <row r="36" spans="1:2">
      <c r="A36" s="24"/>
      <c r="B36" s="15" t="s">
        <v>397</v>
      </c>
    </row>
    <row r="37" spans="1:2">
      <c r="A37" s="23" t="s">
        <v>410</v>
      </c>
      <c r="B37" s="15" t="s">
        <v>382</v>
      </c>
    </row>
    <row r="38" spans="1:2">
      <c r="A38" s="23"/>
      <c r="B38" s="15" t="s">
        <v>409</v>
      </c>
    </row>
    <row r="39" spans="1:2">
      <c r="A39" s="23"/>
      <c r="B39" s="15" t="s">
        <v>614</v>
      </c>
    </row>
    <row r="40" spans="1:2">
      <c r="A40" s="23"/>
      <c r="B40" s="15" t="s">
        <v>411</v>
      </c>
    </row>
    <row r="41" spans="1:2">
      <c r="A41" s="23"/>
      <c r="B41" s="15" t="s">
        <v>615</v>
      </c>
    </row>
    <row r="42" spans="1:2">
      <c r="A42" s="23"/>
      <c r="B42" s="15" t="s">
        <v>412</v>
      </c>
    </row>
    <row r="43" spans="1:2">
      <c r="A43" s="23"/>
      <c r="B43" s="15" t="s">
        <v>616</v>
      </c>
    </row>
    <row r="44" spans="1:2">
      <c r="A44" s="23"/>
      <c r="B44" s="15" t="s">
        <v>413</v>
      </c>
    </row>
    <row r="45" spans="1:2">
      <c r="A45" s="24"/>
      <c r="B45" s="15" t="s">
        <v>414</v>
      </c>
    </row>
    <row r="46" spans="1:2">
      <c r="A46" s="25" t="s">
        <v>415</v>
      </c>
      <c r="B46" s="15" t="s">
        <v>895</v>
      </c>
    </row>
    <row r="47" spans="1:2">
      <c r="A47" s="23" t="s">
        <v>416</v>
      </c>
      <c r="B47" s="15" t="s">
        <v>896</v>
      </c>
    </row>
    <row r="48" spans="1:2">
      <c r="A48" s="23"/>
      <c r="B48" s="15" t="s">
        <v>894</v>
      </c>
    </row>
    <row r="49" spans="1:2">
      <c r="A49" s="23"/>
      <c r="B49" s="15" t="s">
        <v>898</v>
      </c>
    </row>
    <row r="50" spans="1:2">
      <c r="A50" s="23"/>
      <c r="B50" s="15" t="s">
        <v>900</v>
      </c>
    </row>
    <row r="51" spans="1:2">
      <c r="A51" s="23"/>
      <c r="B51" s="15" t="s">
        <v>892</v>
      </c>
    </row>
    <row r="52" spans="1:2">
      <c r="A52" s="23"/>
      <c r="B52" s="15" t="s">
        <v>902</v>
      </c>
    </row>
    <row r="53" spans="1:2">
      <c r="A53" s="23"/>
      <c r="B53" s="15" t="s">
        <v>904</v>
      </c>
    </row>
    <row r="54" spans="1:2">
      <c r="A54" s="23"/>
      <c r="B54" s="15" t="s">
        <v>907</v>
      </c>
    </row>
    <row r="55" spans="1:2">
      <c r="A55" s="23"/>
      <c r="B55" s="15" t="s">
        <v>910</v>
      </c>
    </row>
    <row r="56" spans="1:2">
      <c r="A56" s="23"/>
      <c r="B56" s="15" t="s">
        <v>893</v>
      </c>
    </row>
    <row r="57" spans="1:2">
      <c r="A57" s="23"/>
      <c r="B57" s="15" t="s">
        <v>913</v>
      </c>
    </row>
    <row r="58" spans="1:2">
      <c r="A58" s="23"/>
      <c r="B58" s="15" t="s">
        <v>897</v>
      </c>
    </row>
    <row r="59" spans="1:2">
      <c r="A59" s="23"/>
      <c r="B59" s="15" t="s">
        <v>417</v>
      </c>
    </row>
    <row r="60" spans="1:2">
      <c r="A60" s="23"/>
      <c r="B60" s="15" t="s">
        <v>899</v>
      </c>
    </row>
    <row r="61" spans="1:2">
      <c r="A61" s="23"/>
      <c r="B61" s="15" t="s">
        <v>901</v>
      </c>
    </row>
    <row r="62" spans="1:2">
      <c r="A62" s="23"/>
      <c r="B62" s="15" t="s">
        <v>903</v>
      </c>
    </row>
    <row r="63" spans="1:2">
      <c r="A63" s="23"/>
      <c r="B63" s="15" t="s">
        <v>905</v>
      </c>
    </row>
    <row r="64" spans="1:2">
      <c r="A64" s="23"/>
      <c r="B64" s="15" t="s">
        <v>908</v>
      </c>
    </row>
    <row r="65" spans="1:2">
      <c r="A65" s="23"/>
      <c r="B65" s="15" t="s">
        <v>911</v>
      </c>
    </row>
    <row r="66" spans="1:2">
      <c r="A66" s="23"/>
      <c r="B66" s="15" t="s">
        <v>914</v>
      </c>
    </row>
    <row r="67" spans="1:2">
      <c r="A67" s="23"/>
      <c r="B67" s="15" t="s">
        <v>418</v>
      </c>
    </row>
    <row r="68" spans="1:2">
      <c r="A68" s="23"/>
      <c r="B68" s="15" t="s">
        <v>916</v>
      </c>
    </row>
    <row r="69" spans="1:2">
      <c r="A69" s="23"/>
      <c r="B69" s="15" t="s">
        <v>906</v>
      </c>
    </row>
    <row r="70" spans="1:2">
      <c r="A70" s="23"/>
      <c r="B70" s="15" t="s">
        <v>419</v>
      </c>
    </row>
    <row r="71" spans="1:2">
      <c r="A71" s="23"/>
      <c r="B71" s="15" t="s">
        <v>909</v>
      </c>
    </row>
    <row r="72" spans="1:2">
      <c r="A72" s="23"/>
      <c r="B72" s="15" t="s">
        <v>912</v>
      </c>
    </row>
    <row r="73" spans="1:2">
      <c r="A73" s="23"/>
      <c r="B73" s="15" t="s">
        <v>420</v>
      </c>
    </row>
    <row r="74" spans="1:2">
      <c r="A74" s="23"/>
      <c r="B74" s="15" t="s">
        <v>421</v>
      </c>
    </row>
    <row r="75" spans="1:2">
      <c r="A75" s="23"/>
      <c r="B75" s="15" t="s">
        <v>915</v>
      </c>
    </row>
    <row r="76" spans="1:2">
      <c r="A76" s="23"/>
      <c r="B76" s="15" t="s">
        <v>422</v>
      </c>
    </row>
    <row r="77" spans="1:2">
      <c r="A77" s="23"/>
      <c r="B77" s="15" t="s">
        <v>423</v>
      </c>
    </row>
    <row r="78" spans="1:2">
      <c r="A78" s="24"/>
      <c r="B78" s="15" t="s">
        <v>397</v>
      </c>
    </row>
    <row r="79" spans="1:2">
      <c r="A79" s="22" t="s">
        <v>425</v>
      </c>
      <c r="B79" s="15" t="s">
        <v>424</v>
      </c>
    </row>
    <row r="80" spans="1:2">
      <c r="A80" s="23"/>
      <c r="B80" s="15" t="s">
        <v>426</v>
      </c>
    </row>
    <row r="81" spans="1:2">
      <c r="A81" s="24"/>
      <c r="B81" s="15" t="s">
        <v>427</v>
      </c>
    </row>
    <row r="82" spans="1:2">
      <c r="A82" s="23" t="s">
        <v>429</v>
      </c>
      <c r="B82" s="15" t="s">
        <v>428</v>
      </c>
    </row>
    <row r="83" spans="1:2">
      <c r="A83" s="23"/>
      <c r="B83" s="15" t="s">
        <v>430</v>
      </c>
    </row>
    <row r="84" spans="1:2">
      <c r="A84" s="23"/>
      <c r="B84" s="15" t="s">
        <v>431</v>
      </c>
    </row>
    <row r="85" spans="1:2">
      <c r="A85" s="23"/>
      <c r="B85" s="15" t="s">
        <v>432</v>
      </c>
    </row>
    <row r="86" spans="1:2">
      <c r="A86" s="23"/>
      <c r="B86" s="15" t="s">
        <v>433</v>
      </c>
    </row>
    <row r="87" spans="1:2">
      <c r="A87" s="23"/>
      <c r="B87" s="15" t="s">
        <v>434</v>
      </c>
    </row>
    <row r="88" spans="1:2">
      <c r="A88" s="23"/>
      <c r="B88" s="15" t="s">
        <v>435</v>
      </c>
    </row>
    <row r="89" spans="1:2">
      <c r="A89" s="26"/>
      <c r="B89" s="24" t="s">
        <v>436</v>
      </c>
    </row>
    <row r="90" spans="1:2">
      <c r="A90" s="27"/>
      <c r="B90" s="15" t="s">
        <v>437</v>
      </c>
    </row>
    <row r="91" spans="1:2">
      <c r="A91" s="23" t="s">
        <v>439</v>
      </c>
      <c r="B91" s="15" t="s">
        <v>438</v>
      </c>
    </row>
    <row r="92" spans="1:2">
      <c r="A92" s="23"/>
      <c r="B92" s="15" t="s">
        <v>440</v>
      </c>
    </row>
    <row r="93" spans="1:2">
      <c r="A93" s="23"/>
      <c r="B93" s="15" t="s">
        <v>441</v>
      </c>
    </row>
    <row r="94" spans="1:2">
      <c r="A94" s="23"/>
      <c r="B94" s="15" t="s">
        <v>442</v>
      </c>
    </row>
    <row r="95" spans="1:2">
      <c r="A95" s="23"/>
      <c r="B95" s="15" t="s">
        <v>443</v>
      </c>
    </row>
    <row r="96" spans="1:2">
      <c r="A96" s="23"/>
      <c r="B96" s="15" t="s">
        <v>444</v>
      </c>
    </row>
    <row r="97" spans="1:2">
      <c r="A97" s="23"/>
      <c r="B97" s="15" t="s">
        <v>445</v>
      </c>
    </row>
    <row r="98" spans="1:2">
      <c r="A98" s="23"/>
      <c r="B98" s="15" t="s">
        <v>446</v>
      </c>
    </row>
    <row r="99" spans="1:2">
      <c r="A99" s="23"/>
      <c r="B99" s="15" t="s">
        <v>447</v>
      </c>
    </row>
    <row r="100" spans="1:2">
      <c r="A100" s="23"/>
      <c r="B100" s="15" t="s">
        <v>448</v>
      </c>
    </row>
    <row r="101" spans="1:2">
      <c r="A101" s="23"/>
      <c r="B101" s="15" t="s">
        <v>449</v>
      </c>
    </row>
    <row r="102" spans="1:2">
      <c r="A102" s="23"/>
      <c r="B102" s="15" t="s">
        <v>450</v>
      </c>
    </row>
    <row r="103" spans="1:2">
      <c r="A103" s="23"/>
      <c r="B103" s="15" t="s">
        <v>451</v>
      </c>
    </row>
    <row r="104" spans="1:2">
      <c r="A104" s="23"/>
      <c r="B104" s="15" t="s">
        <v>452</v>
      </c>
    </row>
    <row r="105" spans="1:2">
      <c r="A105" s="23"/>
      <c r="B105" s="15" t="s">
        <v>453</v>
      </c>
    </row>
    <row r="106" spans="1:2">
      <c r="A106" s="23"/>
      <c r="B106" s="15" t="s">
        <v>454</v>
      </c>
    </row>
    <row r="107" spans="1:2">
      <c r="A107" s="23"/>
      <c r="B107" s="15" t="s">
        <v>455</v>
      </c>
    </row>
    <row r="108" spans="1:2">
      <c r="A108" s="23"/>
      <c r="B108" s="15" t="s">
        <v>456</v>
      </c>
    </row>
    <row r="109" spans="1:2">
      <c r="A109" s="23"/>
      <c r="B109" s="15" t="s">
        <v>457</v>
      </c>
    </row>
    <row r="110" spans="1:2">
      <c r="A110" s="23"/>
      <c r="B110" s="15" t="s">
        <v>458</v>
      </c>
    </row>
    <row r="111" spans="1:2">
      <c r="A111" s="23"/>
      <c r="B111" s="15" t="s">
        <v>459</v>
      </c>
    </row>
    <row r="112" spans="1:2">
      <c r="A112" s="23"/>
      <c r="B112" s="15" t="s">
        <v>460</v>
      </c>
    </row>
    <row r="113" spans="1:2">
      <c r="A113" s="23"/>
      <c r="B113" s="15" t="s">
        <v>461</v>
      </c>
    </row>
    <row r="114" spans="1:2">
      <c r="A114" s="23"/>
      <c r="B114" s="15" t="s">
        <v>462</v>
      </c>
    </row>
    <row r="115" spans="1:2">
      <c r="A115" s="23"/>
      <c r="B115" s="15" t="s">
        <v>463</v>
      </c>
    </row>
    <row r="116" spans="1:2">
      <c r="A116" s="23"/>
      <c r="B116" s="15" t="s">
        <v>464</v>
      </c>
    </row>
    <row r="117" spans="1:2">
      <c r="A117" s="23"/>
      <c r="B117" s="15" t="s">
        <v>465</v>
      </c>
    </row>
    <row r="118" spans="1:2">
      <c r="A118" s="23"/>
      <c r="B118" s="15" t="s">
        <v>466</v>
      </c>
    </row>
    <row r="119" spans="1:2">
      <c r="A119" s="23"/>
      <c r="B119" s="15" t="s">
        <v>467</v>
      </c>
    </row>
    <row r="120" spans="1:2">
      <c r="A120" s="23"/>
      <c r="B120" s="15" t="s">
        <v>468</v>
      </c>
    </row>
    <row r="121" spans="1:2">
      <c r="A121" s="23"/>
      <c r="B121" s="15" t="s">
        <v>469</v>
      </c>
    </row>
    <row r="122" spans="1:2">
      <c r="A122" s="23"/>
      <c r="B122" s="15" t="s">
        <v>470</v>
      </c>
    </row>
    <row r="123" spans="1:2">
      <c r="A123" s="23"/>
      <c r="B123" s="15" t="s">
        <v>471</v>
      </c>
    </row>
    <row r="124" spans="1:2">
      <c r="A124" s="23"/>
      <c r="B124" s="15" t="s">
        <v>472</v>
      </c>
    </row>
    <row r="125" spans="1:2">
      <c r="A125" s="23"/>
      <c r="B125" s="15" t="s">
        <v>473</v>
      </c>
    </row>
    <row r="126" spans="1:2">
      <c r="A126" s="23"/>
      <c r="B126" s="15" t="s">
        <v>474</v>
      </c>
    </row>
    <row r="127" spans="1:2">
      <c r="A127" s="23"/>
      <c r="B127" s="15" t="s">
        <v>475</v>
      </c>
    </row>
    <row r="128" spans="1:2">
      <c r="A128" s="23"/>
      <c r="B128" s="15" t="s">
        <v>476</v>
      </c>
    </row>
    <row r="129" spans="1:2">
      <c r="A129" s="23"/>
      <c r="B129" s="15" t="s">
        <v>477</v>
      </c>
    </row>
    <row r="130" spans="1:2">
      <c r="A130" s="23"/>
      <c r="B130" s="15" t="s">
        <v>478</v>
      </c>
    </row>
    <row r="131" spans="1:2">
      <c r="A131" s="23"/>
      <c r="B131" s="15" t="s">
        <v>479</v>
      </c>
    </row>
    <row r="132" spans="1:2">
      <c r="A132" s="23"/>
      <c r="B132" s="15" t="s">
        <v>480</v>
      </c>
    </row>
    <row r="133" spans="1:2">
      <c r="A133" s="23"/>
      <c r="B133" s="15" t="s">
        <v>481</v>
      </c>
    </row>
    <row r="134" spans="1:2">
      <c r="A134" s="23"/>
      <c r="B134" s="15" t="s">
        <v>482</v>
      </c>
    </row>
    <row r="135" spans="1:2">
      <c r="A135" s="23"/>
      <c r="B135" s="15" t="s">
        <v>483</v>
      </c>
    </row>
    <row r="136" spans="1:2">
      <c r="A136" s="23"/>
      <c r="B136" s="15" t="s">
        <v>484</v>
      </c>
    </row>
    <row r="137" spans="1:2">
      <c r="A137" s="23"/>
      <c r="B137" s="15" t="s">
        <v>485</v>
      </c>
    </row>
    <row r="138" spans="1:2">
      <c r="A138" s="23"/>
      <c r="B138" s="15" t="s">
        <v>486</v>
      </c>
    </row>
    <row r="139" spans="1:2">
      <c r="A139" s="23"/>
      <c r="B139" s="15" t="s">
        <v>487</v>
      </c>
    </row>
    <row r="140" spans="1:2">
      <c r="A140" s="23"/>
      <c r="B140" s="15" t="s">
        <v>488</v>
      </c>
    </row>
    <row r="141" spans="1:2">
      <c r="A141" s="23"/>
      <c r="B141" s="15" t="s">
        <v>489</v>
      </c>
    </row>
    <row r="142" spans="1:2">
      <c r="A142" s="23"/>
      <c r="B142" s="15" t="s">
        <v>490</v>
      </c>
    </row>
    <row r="143" spans="1:2">
      <c r="A143" s="23"/>
      <c r="B143" s="15" t="s">
        <v>491</v>
      </c>
    </row>
    <row r="144" spans="1:2">
      <c r="A144" s="23"/>
      <c r="B144" s="15" t="s">
        <v>492</v>
      </c>
    </row>
    <row r="145" spans="1:2">
      <c r="A145" s="23"/>
      <c r="B145" s="15" t="s">
        <v>493</v>
      </c>
    </row>
    <row r="146" spans="1:2">
      <c r="A146" s="23"/>
      <c r="B146" s="15" t="s">
        <v>494</v>
      </c>
    </row>
    <row r="147" spans="1:2">
      <c r="A147" s="23"/>
      <c r="B147" s="15" t="s">
        <v>495</v>
      </c>
    </row>
    <row r="148" spans="1:2">
      <c r="A148" s="23"/>
      <c r="B148" s="15" t="s">
        <v>496</v>
      </c>
    </row>
    <row r="149" spans="1:2">
      <c r="A149" s="23"/>
      <c r="B149" s="15" t="s">
        <v>497</v>
      </c>
    </row>
    <row r="150" spans="1:2">
      <c r="A150" s="23"/>
      <c r="B150" s="15" t="s">
        <v>498</v>
      </c>
    </row>
    <row r="151" spans="1:2">
      <c r="A151" s="23"/>
      <c r="B151" s="15" t="s">
        <v>499</v>
      </c>
    </row>
    <row r="152" spans="1:2">
      <c r="A152" s="23"/>
      <c r="B152" s="15" t="s">
        <v>500</v>
      </c>
    </row>
    <row r="153" spans="1:2">
      <c r="A153" s="23"/>
      <c r="B153" s="15" t="s">
        <v>501</v>
      </c>
    </row>
    <row r="154" spans="1:2">
      <c r="A154" s="23"/>
      <c r="B154" s="15" t="s">
        <v>502</v>
      </c>
    </row>
    <row r="155" spans="1:2">
      <c r="A155" s="23"/>
      <c r="B155" s="15" t="s">
        <v>503</v>
      </c>
    </row>
    <row r="156" spans="1:2">
      <c r="A156" s="23"/>
      <c r="B156" s="15" t="s">
        <v>504</v>
      </c>
    </row>
    <row r="157" spans="1:2">
      <c r="A157" s="23"/>
      <c r="B157" s="15" t="s">
        <v>505</v>
      </c>
    </row>
    <row r="158" spans="1:2">
      <c r="A158" s="23"/>
      <c r="B158" s="15" t="s">
        <v>506</v>
      </c>
    </row>
    <row r="159" spans="1:2">
      <c r="A159" s="23"/>
      <c r="B159" s="15" t="s">
        <v>507</v>
      </c>
    </row>
    <row r="160" spans="1:2">
      <c r="A160" s="23"/>
      <c r="B160" s="15" t="s">
        <v>508</v>
      </c>
    </row>
    <row r="161" spans="1:2">
      <c r="A161" s="23"/>
      <c r="B161" s="15" t="s">
        <v>509</v>
      </c>
    </row>
    <row r="162" spans="1:2">
      <c r="A162" s="23"/>
      <c r="B162" s="15" t="s">
        <v>510</v>
      </c>
    </row>
    <row r="163" spans="1:2">
      <c r="A163" s="23"/>
      <c r="B163" s="15" t="s">
        <v>511</v>
      </c>
    </row>
    <row r="164" spans="1:2">
      <c r="A164" s="23"/>
      <c r="B164" s="15" t="s">
        <v>512</v>
      </c>
    </row>
    <row r="165" spans="1:2">
      <c r="A165" s="23"/>
      <c r="B165" s="15" t="s">
        <v>513</v>
      </c>
    </row>
    <row r="166" spans="1:2">
      <c r="A166" s="23"/>
      <c r="B166" s="15" t="s">
        <v>514</v>
      </c>
    </row>
    <row r="167" spans="1:2">
      <c r="A167" s="23"/>
      <c r="B167" s="15" t="s">
        <v>515</v>
      </c>
    </row>
    <row r="168" spans="1:2">
      <c r="A168" s="23"/>
      <c r="B168" s="15" t="s">
        <v>516</v>
      </c>
    </row>
    <row r="169" spans="1:2">
      <c r="A169" s="23"/>
      <c r="B169" s="15" t="s">
        <v>517</v>
      </c>
    </row>
    <row r="170" spans="1:2">
      <c r="A170" s="23"/>
      <c r="B170" s="15" t="s">
        <v>518</v>
      </c>
    </row>
    <row r="171" spans="1:2">
      <c r="A171" s="23"/>
      <c r="B171" s="15" t="s">
        <v>519</v>
      </c>
    </row>
    <row r="172" spans="1:2">
      <c r="A172" s="23"/>
      <c r="B172" s="15" t="s">
        <v>520</v>
      </c>
    </row>
    <row r="173" spans="1:2">
      <c r="A173" s="23"/>
      <c r="B173" s="15" t="s">
        <v>521</v>
      </c>
    </row>
    <row r="174" spans="1:2">
      <c r="A174" s="23"/>
      <c r="B174" s="15" t="s">
        <v>522</v>
      </c>
    </row>
    <row r="175" spans="1:2">
      <c r="A175" s="23"/>
      <c r="B175" s="15" t="s">
        <v>523</v>
      </c>
    </row>
    <row r="176" spans="1:2">
      <c r="A176" s="23"/>
      <c r="B176" s="15" t="s">
        <v>524</v>
      </c>
    </row>
    <row r="177" spans="1:2">
      <c r="A177" s="23"/>
      <c r="B177" s="15" t="s">
        <v>525</v>
      </c>
    </row>
    <row r="178" spans="1:2">
      <c r="A178" s="23"/>
      <c r="B178" s="15" t="s">
        <v>526</v>
      </c>
    </row>
    <row r="179" spans="1:2">
      <c r="A179" s="23"/>
      <c r="B179" s="15" t="s">
        <v>527</v>
      </c>
    </row>
    <row r="180" spans="1:2">
      <c r="A180" s="23"/>
      <c r="B180" s="15" t="s">
        <v>528</v>
      </c>
    </row>
    <row r="181" spans="1:2">
      <c r="A181" s="23"/>
      <c r="B181" s="15" t="s">
        <v>529</v>
      </c>
    </row>
    <row r="182" spans="1:2">
      <c r="A182" s="23"/>
      <c r="B182" s="15" t="s">
        <v>530</v>
      </c>
    </row>
    <row r="183" spans="1:2">
      <c r="A183" s="23"/>
      <c r="B183" s="15" t="s">
        <v>531</v>
      </c>
    </row>
    <row r="184" spans="1:2">
      <c r="A184" s="23"/>
      <c r="B184" s="15" t="s">
        <v>532</v>
      </c>
    </row>
    <row r="185" spans="1:2">
      <c r="A185" s="23"/>
      <c r="B185" s="15" t="s">
        <v>533</v>
      </c>
    </row>
    <row r="186" spans="1:2">
      <c r="A186" s="23"/>
      <c r="B186" s="15" t="s">
        <v>534</v>
      </c>
    </row>
    <row r="187" spans="1:2">
      <c r="A187" s="23"/>
      <c r="B187" s="15" t="s">
        <v>535</v>
      </c>
    </row>
    <row r="188" spans="1:2">
      <c r="A188" s="23"/>
      <c r="B188" s="15" t="s">
        <v>536</v>
      </c>
    </row>
    <row r="189" spans="1:2">
      <c r="A189" s="23"/>
      <c r="B189" s="15" t="s">
        <v>537</v>
      </c>
    </row>
    <row r="190" spans="1:2">
      <c r="A190" s="23"/>
      <c r="B190" s="15" t="s">
        <v>538</v>
      </c>
    </row>
    <row r="191" spans="1:2">
      <c r="A191" s="23"/>
      <c r="B191" s="15" t="s">
        <v>539</v>
      </c>
    </row>
    <row r="192" spans="1:2">
      <c r="A192" s="23"/>
      <c r="B192" s="15" t="s">
        <v>540</v>
      </c>
    </row>
    <row r="193" spans="1:2">
      <c r="A193" s="23"/>
      <c r="B193" s="15" t="s">
        <v>541</v>
      </c>
    </row>
    <row r="194" spans="1:2">
      <c r="A194" s="23"/>
      <c r="B194" s="15" t="s">
        <v>542</v>
      </c>
    </row>
    <row r="195" spans="1:2">
      <c r="A195" s="23"/>
      <c r="B195" s="15" t="s">
        <v>543</v>
      </c>
    </row>
    <row r="196" spans="1:2">
      <c r="A196" s="26"/>
      <c r="B196" s="15" t="s">
        <v>544</v>
      </c>
    </row>
    <row r="197" spans="1:2">
      <c r="A197" s="26"/>
      <c r="B197" s="15" t="s">
        <v>545</v>
      </c>
    </row>
    <row r="198" spans="1:2">
      <c r="A198" s="26"/>
      <c r="B198" s="15" t="s">
        <v>546</v>
      </c>
    </row>
    <row r="199" spans="1:2">
      <c r="A199" s="26"/>
      <c r="B199" s="15" t="s">
        <v>547</v>
      </c>
    </row>
    <row r="200" spans="1:2">
      <c r="A200" s="26"/>
      <c r="B200" s="15" t="s">
        <v>548</v>
      </c>
    </row>
    <row r="201" spans="1:2">
      <c r="A201" s="26"/>
      <c r="B201" s="15" t="s">
        <v>549</v>
      </c>
    </row>
    <row r="202" spans="1:2">
      <c r="A202" s="26"/>
      <c r="B202" s="15" t="s">
        <v>550</v>
      </c>
    </row>
    <row r="203" spans="1:2">
      <c r="A203" s="26"/>
      <c r="B203" s="15" t="s">
        <v>551</v>
      </c>
    </row>
    <row r="204" spans="1:2">
      <c r="A204" s="26"/>
      <c r="B204" s="15" t="s">
        <v>552</v>
      </c>
    </row>
    <row r="205" spans="1:2">
      <c r="A205" s="26"/>
      <c r="B205" s="15" t="s">
        <v>553</v>
      </c>
    </row>
    <row r="206" spans="1:2">
      <c r="A206" s="26"/>
      <c r="B206" s="15" t="s">
        <v>554</v>
      </c>
    </row>
    <row r="207" spans="1:2">
      <c r="A207" s="26"/>
      <c r="B207" s="15" t="s">
        <v>555</v>
      </c>
    </row>
    <row r="208" spans="1:2">
      <c r="A208" s="26"/>
      <c r="B208" s="15" t="s">
        <v>556</v>
      </c>
    </row>
    <row r="209" spans="1:2">
      <c r="A209" s="26"/>
      <c r="B209" s="15" t="s">
        <v>557</v>
      </c>
    </row>
    <row r="210" spans="1:2">
      <c r="A210" s="26"/>
      <c r="B210" s="15" t="s">
        <v>558</v>
      </c>
    </row>
    <row r="211" spans="1:2">
      <c r="A211" s="26"/>
      <c r="B211" s="15" t="s">
        <v>559</v>
      </c>
    </row>
    <row r="212" spans="1:2">
      <c r="A212" s="26"/>
      <c r="B212" s="15" t="s">
        <v>560</v>
      </c>
    </row>
    <row r="213" spans="1:2">
      <c r="A213" s="26"/>
      <c r="B213" s="15" t="s">
        <v>561</v>
      </c>
    </row>
    <row r="214" spans="1:2">
      <c r="A214" s="26"/>
      <c r="B214" s="15" t="s">
        <v>562</v>
      </c>
    </row>
    <row r="215" spans="1:2">
      <c r="A215" s="26"/>
      <c r="B215" s="15" t="s">
        <v>563</v>
      </c>
    </row>
    <row r="216" spans="1:2">
      <c r="A216" s="26"/>
      <c r="B216" s="15" t="s">
        <v>564</v>
      </c>
    </row>
    <row r="217" spans="1:2">
      <c r="A217" s="26"/>
      <c r="B217" s="15" t="s">
        <v>565</v>
      </c>
    </row>
    <row r="218" spans="1:2">
      <c r="A218" s="26"/>
      <c r="B218" s="15" t="s">
        <v>566</v>
      </c>
    </row>
    <row r="219" spans="1:2">
      <c r="A219" s="26"/>
      <c r="B219" s="15" t="s">
        <v>567</v>
      </c>
    </row>
    <row r="220" spans="1:2">
      <c r="A220" s="26"/>
      <c r="B220" s="15" t="s">
        <v>568</v>
      </c>
    </row>
    <row r="221" spans="1:2">
      <c r="A221" s="26"/>
      <c r="B221" s="15" t="s">
        <v>569</v>
      </c>
    </row>
    <row r="222" spans="1:2">
      <c r="A222" s="26"/>
      <c r="B222" s="15" t="s">
        <v>570</v>
      </c>
    </row>
    <row r="223" spans="1:2">
      <c r="A223" s="26"/>
      <c r="B223" s="15" t="s">
        <v>571</v>
      </c>
    </row>
    <row r="224" spans="1:2">
      <c r="A224" s="26"/>
      <c r="B224" s="15" t="s">
        <v>572</v>
      </c>
    </row>
    <row r="225" spans="1:2">
      <c r="A225" s="26"/>
      <c r="B225" s="15" t="s">
        <v>573</v>
      </c>
    </row>
    <row r="226" spans="1:2">
      <c r="A226" s="26"/>
      <c r="B226" s="15" t="s">
        <v>574</v>
      </c>
    </row>
    <row r="227" spans="1:2">
      <c r="A227" s="26"/>
      <c r="B227" s="15" t="s">
        <v>575</v>
      </c>
    </row>
    <row r="228" spans="1:2">
      <c r="A228" s="26"/>
      <c r="B228" s="15" t="s">
        <v>576</v>
      </c>
    </row>
    <row r="229" spans="1:2">
      <c r="A229" s="26"/>
      <c r="B229" s="15" t="s">
        <v>577</v>
      </c>
    </row>
    <row r="230" spans="1:2">
      <c r="A230" s="26"/>
      <c r="B230" s="15" t="s">
        <v>578</v>
      </c>
    </row>
    <row r="231" spans="1:2">
      <c r="A231" s="26"/>
      <c r="B231" s="15" t="s">
        <v>579</v>
      </c>
    </row>
    <row r="232" spans="1:2">
      <c r="A232" s="26"/>
      <c r="B232" s="15" t="s">
        <v>580</v>
      </c>
    </row>
    <row r="233" spans="1:2">
      <c r="A233" s="26"/>
      <c r="B233" s="15" t="s">
        <v>581</v>
      </c>
    </row>
    <row r="234" spans="1:2">
      <c r="A234" s="26"/>
      <c r="B234" s="15" t="s">
        <v>582</v>
      </c>
    </row>
    <row r="235" spans="1:2">
      <c r="A235" s="26"/>
      <c r="B235" s="15" t="s">
        <v>583</v>
      </c>
    </row>
    <row r="236" spans="1:2">
      <c r="A236" s="26"/>
      <c r="B236" s="15" t="s">
        <v>584</v>
      </c>
    </row>
    <row r="237" spans="1:2">
      <c r="A237" s="26"/>
      <c r="B237" s="15" t="s">
        <v>585</v>
      </c>
    </row>
    <row r="238" spans="1:2">
      <c r="A238" s="26"/>
      <c r="B238" s="15" t="s">
        <v>586</v>
      </c>
    </row>
    <row r="239" spans="1:2">
      <c r="A239" s="26"/>
      <c r="B239" s="15" t="s">
        <v>587</v>
      </c>
    </row>
    <row r="240" spans="1:2">
      <c r="A240" s="26"/>
      <c r="B240" s="15" t="s">
        <v>588</v>
      </c>
    </row>
    <row r="241" spans="1:2">
      <c r="A241" s="26"/>
      <c r="B241" s="15" t="s">
        <v>589</v>
      </c>
    </row>
    <row r="242" spans="1:2">
      <c r="A242" s="26"/>
      <c r="B242" s="15" t="s">
        <v>590</v>
      </c>
    </row>
    <row r="243" spans="1:2">
      <c r="A243" s="26"/>
      <c r="B243" s="15" t="s">
        <v>591</v>
      </c>
    </row>
    <row r="244" spans="1:2">
      <c r="A244" s="26"/>
      <c r="B244" s="15" t="s">
        <v>592</v>
      </c>
    </row>
    <row r="245" spans="1:2">
      <c r="A245" s="26"/>
      <c r="B245" s="15" t="s">
        <v>593</v>
      </c>
    </row>
    <row r="246" spans="1:2">
      <c r="A246" s="26"/>
      <c r="B246" s="15" t="s">
        <v>594</v>
      </c>
    </row>
    <row r="247" spans="1:2">
      <c r="A247" s="26"/>
      <c r="B247" s="15" t="s">
        <v>595</v>
      </c>
    </row>
    <row r="248" spans="1:2">
      <c r="A248" s="26"/>
      <c r="B248" s="15" t="s">
        <v>596</v>
      </c>
    </row>
    <row r="249" spans="1:2">
      <c r="A249" s="26"/>
      <c r="B249" s="15" t="s">
        <v>597</v>
      </c>
    </row>
    <row r="250" spans="1:2">
      <c r="A250" s="26"/>
      <c r="B250" s="15" t="s">
        <v>598</v>
      </c>
    </row>
    <row r="251" spans="1:2">
      <c r="A251" s="23"/>
      <c r="B251" s="15" t="s">
        <v>599</v>
      </c>
    </row>
    <row r="252" spans="1:2">
      <c r="A252" s="26"/>
      <c r="B252" s="24" t="s">
        <v>600</v>
      </c>
    </row>
    <row r="253" spans="1:2">
      <c r="A253" s="26"/>
      <c r="B253" s="24" t="s">
        <v>601</v>
      </c>
    </row>
    <row r="254" spans="1:2">
      <c r="A254" s="26"/>
      <c r="B254" s="24" t="s">
        <v>602</v>
      </c>
    </row>
    <row r="255" spans="1:2">
      <c r="A255" s="27"/>
      <c r="B255" s="24" t="s">
        <v>603</v>
      </c>
    </row>
    <row r="256" spans="1:2">
      <c r="A256" s="2" t="s">
        <v>612</v>
      </c>
      <c r="B256" s="1" t="s">
        <v>606</v>
      </c>
    </row>
    <row r="257" spans="1:2">
      <c r="A257" s="3"/>
      <c r="B257" s="1" t="s">
        <v>607</v>
      </c>
    </row>
    <row r="258" spans="1:2">
      <c r="A258" s="3"/>
      <c r="B258" s="1" t="s">
        <v>609</v>
      </c>
    </row>
    <row r="259" spans="1:2">
      <c r="A259" s="3"/>
      <c r="B259" s="1" t="s">
        <v>608</v>
      </c>
    </row>
    <row r="260" spans="1:2">
      <c r="A260" s="3"/>
      <c r="B260" s="1" t="s">
        <v>610</v>
      </c>
    </row>
    <row r="261" spans="1:2">
      <c r="A261" s="3"/>
      <c r="B261" s="1" t="s">
        <v>611</v>
      </c>
    </row>
    <row r="262" spans="1:2">
      <c r="A262" s="4"/>
      <c r="B262" s="15" t="s">
        <v>437</v>
      </c>
    </row>
    <row r="263" spans="1:2">
      <c r="A263" s="23" t="s">
        <v>622</v>
      </c>
      <c r="B263" s="53" t="s">
        <v>629</v>
      </c>
    </row>
    <row r="264" spans="1:2">
      <c r="A264" s="23"/>
      <c r="B264" s="15" t="s">
        <v>630</v>
      </c>
    </row>
    <row r="265" spans="1:2">
      <c r="A265" s="23"/>
      <c r="B265" s="15" t="s">
        <v>631</v>
      </c>
    </row>
    <row r="266" spans="1:2">
      <c r="A266" s="23"/>
      <c r="B266" s="15" t="s">
        <v>632</v>
      </c>
    </row>
    <row r="267" spans="1:2">
      <c r="A267" s="23"/>
      <c r="B267" s="15" t="s">
        <v>633</v>
      </c>
    </row>
    <row r="268" spans="1:2">
      <c r="A268" s="23"/>
      <c r="B268" s="15" t="s">
        <v>634</v>
      </c>
    </row>
    <row r="269" spans="1:2">
      <c r="A269" s="23"/>
      <c r="B269" s="15" t="s">
        <v>635</v>
      </c>
    </row>
    <row r="270" spans="1:2">
      <c r="A270" s="54"/>
      <c r="B270" s="55" t="s">
        <v>636</v>
      </c>
    </row>
    <row r="271" spans="1:2">
      <c r="A271" s="23"/>
      <c r="B271" s="15" t="s">
        <v>637</v>
      </c>
    </row>
    <row r="272" spans="1:2">
      <c r="A272" s="23"/>
      <c r="B272" s="15" t="s">
        <v>638</v>
      </c>
    </row>
    <row r="273" spans="1:2">
      <c r="A273" s="23"/>
      <c r="B273" s="15" t="s">
        <v>639</v>
      </c>
    </row>
    <row r="274" spans="1:2">
      <c r="A274" s="23"/>
      <c r="B274" s="15" t="s">
        <v>640</v>
      </c>
    </row>
    <row r="275" spans="1:2">
      <c r="A275" s="23"/>
      <c r="B275" s="15" t="s">
        <v>641</v>
      </c>
    </row>
    <row r="276" spans="1:2">
      <c r="A276" s="23"/>
      <c r="B276" s="15" t="s">
        <v>642</v>
      </c>
    </row>
    <row r="277" spans="1:2">
      <c r="A277" s="23"/>
      <c r="B277" s="15" t="s">
        <v>643</v>
      </c>
    </row>
    <row r="278" spans="1:2">
      <c r="A278" s="23"/>
      <c r="B278" s="15" t="s">
        <v>644</v>
      </c>
    </row>
    <row r="279" spans="1:2">
      <c r="A279" s="23"/>
      <c r="B279" s="15" t="s">
        <v>645</v>
      </c>
    </row>
    <row r="280" spans="1:2">
      <c r="A280" s="23"/>
      <c r="B280" s="15" t="s">
        <v>646</v>
      </c>
    </row>
    <row r="281" spans="1:2">
      <c r="A281" s="23"/>
      <c r="B281" s="15" t="s">
        <v>647</v>
      </c>
    </row>
    <row r="282" spans="1:2">
      <c r="A282" s="23"/>
      <c r="B282" s="15" t="s">
        <v>648</v>
      </c>
    </row>
    <row r="283" spans="1:2">
      <c r="A283" s="23"/>
      <c r="B283" s="15" t="s">
        <v>649</v>
      </c>
    </row>
    <row r="284" spans="1:2">
      <c r="A284" s="23"/>
      <c r="B284" s="15" t="s">
        <v>650</v>
      </c>
    </row>
    <row r="285" spans="1:2">
      <c r="A285" s="23"/>
      <c r="B285" s="15" t="s">
        <v>651</v>
      </c>
    </row>
    <row r="286" spans="1:2">
      <c r="A286" s="23"/>
      <c r="B286" s="15" t="s">
        <v>652</v>
      </c>
    </row>
    <row r="287" spans="1:2">
      <c r="A287" s="23"/>
      <c r="B287" s="15" t="s">
        <v>653</v>
      </c>
    </row>
    <row r="288" spans="1:2">
      <c r="A288" s="23"/>
      <c r="B288" s="15" t="s">
        <v>654</v>
      </c>
    </row>
    <row r="289" spans="1:2">
      <c r="A289" s="23"/>
      <c r="B289" s="15" t="s">
        <v>655</v>
      </c>
    </row>
    <row r="290" spans="1:2">
      <c r="A290" s="23"/>
      <c r="B290" s="15" t="s">
        <v>656</v>
      </c>
    </row>
    <row r="291" spans="1:2">
      <c r="A291" s="23"/>
      <c r="B291" s="15" t="s">
        <v>657</v>
      </c>
    </row>
    <row r="292" spans="1:2">
      <c r="A292" s="23"/>
      <c r="B292" s="15" t="s">
        <v>658</v>
      </c>
    </row>
    <row r="293" spans="1:2">
      <c r="A293" s="23"/>
      <c r="B293" s="15" t="s">
        <v>659</v>
      </c>
    </row>
    <row r="294" spans="1:2">
      <c r="A294" s="23"/>
      <c r="B294" s="15" t="s">
        <v>660</v>
      </c>
    </row>
    <row r="295" spans="1:2">
      <c r="A295" s="23"/>
      <c r="B295" s="15" t="s">
        <v>661</v>
      </c>
    </row>
    <row r="296" spans="1:2">
      <c r="A296" s="23"/>
      <c r="B296" s="15" t="s">
        <v>662</v>
      </c>
    </row>
    <row r="297" spans="1:2">
      <c r="A297" s="23"/>
      <c r="B297" s="15" t="s">
        <v>663</v>
      </c>
    </row>
    <row r="298" spans="1:2">
      <c r="A298" s="23"/>
      <c r="B298" s="15" t="s">
        <v>664</v>
      </c>
    </row>
    <row r="299" spans="1:2">
      <c r="A299" s="23"/>
      <c r="B299" s="15" t="s">
        <v>665</v>
      </c>
    </row>
    <row r="300" spans="1:2">
      <c r="A300" s="23"/>
      <c r="B300" s="15" t="s">
        <v>666</v>
      </c>
    </row>
    <row r="301" spans="1:2">
      <c r="A301" s="23"/>
      <c r="B301" s="15" t="s">
        <v>667</v>
      </c>
    </row>
    <row r="302" spans="1:2">
      <c r="A302" s="23"/>
      <c r="B302" s="15" t="s">
        <v>668</v>
      </c>
    </row>
    <row r="303" spans="1:2">
      <c r="A303" s="23"/>
      <c r="B303" s="15" t="s">
        <v>669</v>
      </c>
    </row>
    <row r="304" spans="1:2">
      <c r="A304" s="23"/>
      <c r="B304" s="15" t="s">
        <v>670</v>
      </c>
    </row>
    <row r="305" spans="1:2">
      <c r="A305" s="23"/>
      <c r="B305" s="15" t="s">
        <v>671</v>
      </c>
    </row>
    <row r="306" spans="1:2">
      <c r="A306" s="23"/>
      <c r="B306" s="15" t="s">
        <v>672</v>
      </c>
    </row>
    <row r="307" spans="1:2">
      <c r="A307" s="23"/>
      <c r="B307" s="15" t="s">
        <v>673</v>
      </c>
    </row>
    <row r="308" spans="1:2">
      <c r="A308" s="23"/>
      <c r="B308" s="15" t="s">
        <v>674</v>
      </c>
    </row>
    <row r="309" spans="1:2">
      <c r="A309" s="23"/>
      <c r="B309" s="15" t="s">
        <v>675</v>
      </c>
    </row>
    <row r="310" spans="1:2">
      <c r="A310" s="23"/>
      <c r="B310" s="15" t="s">
        <v>676</v>
      </c>
    </row>
    <row r="311" spans="1:2">
      <c r="A311" s="23"/>
      <c r="B311" s="15" t="s">
        <v>677</v>
      </c>
    </row>
    <row r="312" spans="1:2">
      <c r="A312" s="23"/>
      <c r="B312" s="15" t="s">
        <v>678</v>
      </c>
    </row>
    <row r="313" spans="1:2">
      <c r="A313" s="23"/>
      <c r="B313" s="15" t="s">
        <v>679</v>
      </c>
    </row>
    <row r="314" spans="1:2">
      <c r="A314" s="23"/>
      <c r="B314" s="15" t="s">
        <v>680</v>
      </c>
    </row>
    <row r="315" spans="1:2">
      <c r="A315" s="23"/>
      <c r="B315" s="15" t="s">
        <v>681</v>
      </c>
    </row>
    <row r="316" spans="1:2">
      <c r="A316" s="23"/>
      <c r="B316" s="15" t="s">
        <v>682</v>
      </c>
    </row>
    <row r="317" spans="1:2">
      <c r="A317" s="23"/>
      <c r="B317" s="15" t="s">
        <v>683</v>
      </c>
    </row>
    <row r="318" spans="1:2">
      <c r="A318" s="23"/>
      <c r="B318" s="15" t="s">
        <v>684</v>
      </c>
    </row>
    <row r="319" spans="1:2">
      <c r="A319" s="23"/>
      <c r="B319" s="15" t="s">
        <v>685</v>
      </c>
    </row>
    <row r="320" spans="1:2">
      <c r="A320" s="23"/>
      <c r="B320" s="15" t="s">
        <v>686</v>
      </c>
    </row>
    <row r="321" spans="1:2">
      <c r="A321" s="23"/>
      <c r="B321" s="15" t="s">
        <v>687</v>
      </c>
    </row>
    <row r="322" spans="1:2">
      <c r="A322" s="23"/>
      <c r="B322" s="15" t="s">
        <v>688</v>
      </c>
    </row>
    <row r="323" spans="1:2">
      <c r="A323" s="23"/>
      <c r="B323" s="15" t="s">
        <v>689</v>
      </c>
    </row>
    <row r="324" spans="1:2">
      <c r="A324" s="23"/>
      <c r="B324" s="15" t="s">
        <v>690</v>
      </c>
    </row>
    <row r="325" spans="1:2">
      <c r="A325" s="23"/>
      <c r="B325" s="15" t="s">
        <v>691</v>
      </c>
    </row>
    <row r="326" spans="1:2">
      <c r="A326" s="23"/>
      <c r="B326" s="15" t="s">
        <v>692</v>
      </c>
    </row>
    <row r="327" spans="1:2">
      <c r="A327" s="23"/>
      <c r="B327" s="15" t="s">
        <v>693</v>
      </c>
    </row>
    <row r="328" spans="1:2">
      <c r="A328" s="23"/>
      <c r="B328" s="15" t="s">
        <v>694</v>
      </c>
    </row>
    <row r="329" spans="1:2">
      <c r="A329" s="23"/>
      <c r="B329" s="15" t="s">
        <v>695</v>
      </c>
    </row>
    <row r="330" spans="1:2">
      <c r="A330" s="23"/>
      <c r="B330" s="15" t="s">
        <v>696</v>
      </c>
    </row>
    <row r="331" spans="1:2">
      <c r="A331" s="23"/>
      <c r="B331" s="15" t="s">
        <v>697</v>
      </c>
    </row>
    <row r="332" spans="1:2">
      <c r="A332" s="23"/>
      <c r="B332" s="15" t="s">
        <v>698</v>
      </c>
    </row>
    <row r="333" spans="1:2">
      <c r="A333" s="23"/>
      <c r="B333" s="15" t="s">
        <v>699</v>
      </c>
    </row>
    <row r="334" spans="1:2">
      <c r="A334" s="23"/>
      <c r="B334" s="15" t="s">
        <v>700</v>
      </c>
    </row>
    <row r="335" spans="1:2">
      <c r="A335" s="23"/>
      <c r="B335" s="15" t="s">
        <v>701</v>
      </c>
    </row>
    <row r="336" spans="1:2">
      <c r="A336" s="23"/>
      <c r="B336" s="15" t="s">
        <v>702</v>
      </c>
    </row>
    <row r="337" spans="1:2">
      <c r="A337" s="23"/>
      <c r="B337" s="15" t="s">
        <v>703</v>
      </c>
    </row>
    <row r="338" spans="1:2">
      <c r="A338" s="23"/>
      <c r="B338" s="15" t="s">
        <v>704</v>
      </c>
    </row>
    <row r="339" spans="1:2">
      <c r="A339" s="23"/>
      <c r="B339" s="15" t="s">
        <v>705</v>
      </c>
    </row>
    <row r="340" spans="1:2">
      <c r="A340" s="23"/>
      <c r="B340" s="15" t="s">
        <v>706</v>
      </c>
    </row>
    <row r="341" spans="1:2">
      <c r="A341" s="23"/>
      <c r="B341" s="15" t="s">
        <v>707</v>
      </c>
    </row>
    <row r="342" spans="1:2">
      <c r="A342" s="23"/>
      <c r="B342" s="15" t="s">
        <v>708</v>
      </c>
    </row>
    <row r="343" spans="1:2">
      <c r="A343" s="23"/>
      <c r="B343" s="15" t="s">
        <v>709</v>
      </c>
    </row>
    <row r="344" spans="1:2">
      <c r="A344" s="23"/>
      <c r="B344" s="15" t="s">
        <v>710</v>
      </c>
    </row>
    <row r="345" spans="1:2">
      <c r="A345" s="23"/>
      <c r="B345" s="15" t="s">
        <v>711</v>
      </c>
    </row>
    <row r="346" spans="1:2">
      <c r="A346" s="23"/>
      <c r="B346" s="15" t="s">
        <v>712</v>
      </c>
    </row>
    <row r="347" spans="1:2">
      <c r="A347" s="23"/>
      <c r="B347" s="15" t="s">
        <v>713</v>
      </c>
    </row>
    <row r="348" spans="1:2">
      <c r="A348" s="23"/>
      <c r="B348" s="15" t="s">
        <v>714</v>
      </c>
    </row>
    <row r="349" spans="1:2">
      <c r="A349" s="23"/>
      <c r="B349" s="15" t="s">
        <v>715</v>
      </c>
    </row>
    <row r="350" spans="1:2">
      <c r="A350" s="23"/>
      <c r="B350" s="15" t="s">
        <v>716</v>
      </c>
    </row>
    <row r="351" spans="1:2">
      <c r="A351" s="23"/>
      <c r="B351" s="15" t="s">
        <v>717</v>
      </c>
    </row>
    <row r="352" spans="1:2">
      <c r="A352" s="23"/>
      <c r="B352" s="15" t="s">
        <v>718</v>
      </c>
    </row>
    <row r="353" spans="1:2">
      <c r="A353" s="23"/>
      <c r="B353" s="15" t="s">
        <v>719</v>
      </c>
    </row>
    <row r="354" spans="1:2">
      <c r="A354" s="23"/>
      <c r="B354" s="15" t="s">
        <v>720</v>
      </c>
    </row>
    <row r="355" spans="1:2">
      <c r="A355" s="23"/>
      <c r="B355" s="15" t="s">
        <v>721</v>
      </c>
    </row>
    <row r="356" spans="1:2">
      <c r="A356" s="23"/>
      <c r="B356" s="15" t="s">
        <v>722</v>
      </c>
    </row>
    <row r="357" spans="1:2">
      <c r="A357" s="23"/>
      <c r="B357" s="15" t="s">
        <v>723</v>
      </c>
    </row>
    <row r="358" spans="1:2">
      <c r="A358" s="23"/>
      <c r="B358" s="15" t="s">
        <v>724</v>
      </c>
    </row>
    <row r="359" spans="1:2">
      <c r="A359" s="23"/>
      <c r="B359" s="15" t="s">
        <v>725</v>
      </c>
    </row>
    <row r="360" spans="1:2">
      <c r="A360" s="23"/>
      <c r="B360" s="15" t="s">
        <v>726</v>
      </c>
    </row>
    <row r="361" spans="1:2">
      <c r="A361" s="23"/>
      <c r="B361" s="15" t="s">
        <v>727</v>
      </c>
    </row>
    <row r="362" spans="1:2">
      <c r="A362" s="23"/>
      <c r="B362" s="15" t="s">
        <v>728</v>
      </c>
    </row>
    <row r="363" spans="1:2">
      <c r="A363" s="23"/>
      <c r="B363" s="15" t="s">
        <v>729</v>
      </c>
    </row>
    <row r="364" spans="1:2">
      <c r="A364" s="23"/>
      <c r="B364" s="15" t="s">
        <v>730</v>
      </c>
    </row>
    <row r="365" spans="1:2">
      <c r="A365" s="23"/>
      <c r="B365" s="15" t="s">
        <v>731</v>
      </c>
    </row>
    <row r="366" spans="1:2">
      <c r="A366" s="23"/>
      <c r="B366" s="15" t="s">
        <v>732</v>
      </c>
    </row>
    <row r="367" spans="1:2">
      <c r="A367" s="23"/>
      <c r="B367" s="15" t="s">
        <v>733</v>
      </c>
    </row>
    <row r="368" spans="1:2">
      <c r="A368" s="23"/>
      <c r="B368" s="15" t="s">
        <v>734</v>
      </c>
    </row>
    <row r="369" spans="1:2">
      <c r="A369" s="23"/>
      <c r="B369" s="15" t="s">
        <v>735</v>
      </c>
    </row>
    <row r="370" spans="1:2">
      <c r="A370" s="23"/>
      <c r="B370" s="15" t="s">
        <v>736</v>
      </c>
    </row>
    <row r="371" spans="1:2">
      <c r="A371" s="23"/>
      <c r="B371" s="15" t="s">
        <v>737</v>
      </c>
    </row>
    <row r="372" spans="1:2">
      <c r="A372" s="23"/>
      <c r="B372" s="15" t="s">
        <v>738</v>
      </c>
    </row>
    <row r="373" spans="1:2">
      <c r="A373" s="23"/>
      <c r="B373" s="15" t="s">
        <v>739</v>
      </c>
    </row>
    <row r="374" spans="1:2">
      <c r="A374" s="23"/>
      <c r="B374" s="15" t="s">
        <v>740</v>
      </c>
    </row>
    <row r="375" spans="1:2">
      <c r="A375" s="23"/>
      <c r="B375" s="15" t="s">
        <v>741</v>
      </c>
    </row>
    <row r="376" spans="1:2">
      <c r="A376" s="23"/>
      <c r="B376" s="15" t="s">
        <v>742</v>
      </c>
    </row>
    <row r="377" spans="1:2">
      <c r="A377" s="23"/>
      <c r="B377" s="15" t="s">
        <v>743</v>
      </c>
    </row>
    <row r="378" spans="1:2">
      <c r="A378" s="23"/>
      <c r="B378" s="15" t="s">
        <v>744</v>
      </c>
    </row>
    <row r="379" spans="1:2">
      <c r="A379" s="23"/>
      <c r="B379" s="15" t="s">
        <v>745</v>
      </c>
    </row>
    <row r="380" spans="1:2">
      <c r="A380" s="23"/>
      <c r="B380" s="15" t="s">
        <v>746</v>
      </c>
    </row>
    <row r="381" spans="1:2">
      <c r="A381" s="23"/>
      <c r="B381" s="15" t="s">
        <v>747</v>
      </c>
    </row>
    <row r="382" spans="1:2">
      <c r="A382" s="23"/>
      <c r="B382" s="15" t="s">
        <v>748</v>
      </c>
    </row>
    <row r="383" spans="1:2">
      <c r="A383" s="23"/>
      <c r="B383" s="15" t="s">
        <v>749</v>
      </c>
    </row>
    <row r="384" spans="1:2">
      <c r="A384" s="23"/>
      <c r="B384" s="15" t="s">
        <v>750</v>
      </c>
    </row>
    <row r="385" spans="1:2">
      <c r="A385" s="23"/>
      <c r="B385" s="15" t="s">
        <v>751</v>
      </c>
    </row>
    <row r="386" spans="1:2">
      <c r="A386" s="23"/>
      <c r="B386" s="15" t="s">
        <v>752</v>
      </c>
    </row>
    <row r="387" spans="1:2">
      <c r="A387" s="23"/>
      <c r="B387" s="15" t="s">
        <v>753</v>
      </c>
    </row>
    <row r="388" spans="1:2">
      <c r="A388" s="23"/>
      <c r="B388" s="15" t="s">
        <v>754</v>
      </c>
    </row>
    <row r="389" spans="1:2">
      <c r="A389" s="23"/>
      <c r="B389" s="15" t="s">
        <v>755</v>
      </c>
    </row>
    <row r="390" spans="1:2">
      <c r="A390" s="23"/>
      <c r="B390" s="15" t="s">
        <v>756</v>
      </c>
    </row>
    <row r="391" spans="1:2">
      <c r="A391" s="23"/>
      <c r="B391" s="15" t="s">
        <v>757</v>
      </c>
    </row>
    <row r="392" spans="1:2">
      <c r="A392" s="23"/>
      <c r="B392" s="15" t="s">
        <v>758</v>
      </c>
    </row>
    <row r="393" spans="1:2">
      <c r="A393" s="23"/>
      <c r="B393" s="15" t="s">
        <v>759</v>
      </c>
    </row>
    <row r="394" spans="1:2">
      <c r="A394" s="23"/>
      <c r="B394" s="15" t="s">
        <v>760</v>
      </c>
    </row>
    <row r="395" spans="1:2">
      <c r="A395" s="23"/>
      <c r="B395" s="15" t="s">
        <v>761</v>
      </c>
    </row>
    <row r="396" spans="1:2">
      <c r="A396" s="23"/>
      <c r="B396" s="15" t="s">
        <v>762</v>
      </c>
    </row>
    <row r="397" spans="1:2">
      <c r="A397" s="23"/>
      <c r="B397" s="15" t="s">
        <v>763</v>
      </c>
    </row>
    <row r="398" spans="1:2">
      <c r="A398" s="23"/>
      <c r="B398" s="15" t="s">
        <v>764</v>
      </c>
    </row>
    <row r="399" spans="1:2">
      <c r="A399" s="23"/>
      <c r="B399" s="15" t="s">
        <v>765</v>
      </c>
    </row>
    <row r="400" spans="1:2">
      <c r="A400" s="23"/>
      <c r="B400" s="15" t="s">
        <v>766</v>
      </c>
    </row>
    <row r="401" spans="1:2">
      <c r="A401" s="23"/>
      <c r="B401" s="15" t="s">
        <v>767</v>
      </c>
    </row>
    <row r="402" spans="1:2">
      <c r="A402" s="23"/>
      <c r="B402" s="15" t="s">
        <v>768</v>
      </c>
    </row>
    <row r="403" spans="1:2">
      <c r="A403" s="23"/>
      <c r="B403" s="15" t="s">
        <v>769</v>
      </c>
    </row>
    <row r="404" spans="1:2">
      <c r="A404" s="23"/>
      <c r="B404" s="15" t="s">
        <v>770</v>
      </c>
    </row>
    <row r="405" spans="1:2">
      <c r="A405" s="23"/>
      <c r="B405" s="15" t="s">
        <v>771</v>
      </c>
    </row>
    <row r="406" spans="1:2">
      <c r="A406" s="23"/>
      <c r="B406" s="15" t="s">
        <v>772</v>
      </c>
    </row>
    <row r="407" spans="1:2">
      <c r="A407" s="23"/>
      <c r="B407" s="15" t="s">
        <v>773</v>
      </c>
    </row>
    <row r="408" spans="1:2">
      <c r="A408" s="23"/>
      <c r="B408" s="15" t="s">
        <v>774</v>
      </c>
    </row>
    <row r="409" spans="1:2">
      <c r="A409" s="23"/>
      <c r="B409" s="15" t="s">
        <v>775</v>
      </c>
    </row>
    <row r="410" spans="1:2">
      <c r="A410" s="23"/>
      <c r="B410" s="15" t="s">
        <v>776</v>
      </c>
    </row>
    <row r="411" spans="1:2">
      <c r="A411" s="23"/>
      <c r="B411" s="15" t="s">
        <v>777</v>
      </c>
    </row>
    <row r="412" spans="1:2">
      <c r="A412" s="23"/>
      <c r="B412" s="15" t="s">
        <v>778</v>
      </c>
    </row>
    <row r="413" spans="1:2">
      <c r="A413" s="23"/>
      <c r="B413" s="15" t="s">
        <v>779</v>
      </c>
    </row>
    <row r="414" spans="1:2">
      <c r="A414" s="23"/>
      <c r="B414" s="15" t="s">
        <v>780</v>
      </c>
    </row>
    <row r="415" spans="1:2">
      <c r="A415" s="23"/>
      <c r="B415" s="15" t="s">
        <v>781</v>
      </c>
    </row>
    <row r="416" spans="1:2">
      <c r="A416" s="23"/>
      <c r="B416" s="15" t="s">
        <v>782</v>
      </c>
    </row>
    <row r="417" spans="1:2">
      <c r="A417" s="23"/>
      <c r="B417" s="15" t="s">
        <v>783</v>
      </c>
    </row>
    <row r="418" spans="1:2">
      <c r="A418" s="23"/>
      <c r="B418" s="15" t="s">
        <v>784</v>
      </c>
    </row>
    <row r="419" spans="1:2">
      <c r="A419" s="23"/>
      <c r="B419" s="15" t="s">
        <v>785</v>
      </c>
    </row>
    <row r="420" spans="1:2">
      <c r="A420" s="23"/>
      <c r="B420" s="15" t="s">
        <v>786</v>
      </c>
    </row>
    <row r="421" spans="1:2">
      <c r="A421" s="23"/>
      <c r="B421" s="15" t="s">
        <v>787</v>
      </c>
    </row>
    <row r="422" spans="1:2">
      <c r="A422" s="23"/>
      <c r="B422" s="15" t="s">
        <v>788</v>
      </c>
    </row>
    <row r="423" spans="1:2">
      <c r="A423" s="23"/>
      <c r="B423" s="15" t="s">
        <v>789</v>
      </c>
    </row>
    <row r="424" spans="1:2">
      <c r="A424" s="23"/>
      <c r="B424" s="15" t="s">
        <v>790</v>
      </c>
    </row>
    <row r="425" spans="1:2">
      <c r="A425" s="23"/>
      <c r="B425" s="15" t="s">
        <v>791</v>
      </c>
    </row>
    <row r="426" spans="1:2">
      <c r="A426" s="23"/>
      <c r="B426" s="15" t="s">
        <v>792</v>
      </c>
    </row>
    <row r="427" spans="1:2">
      <c r="A427" s="23"/>
      <c r="B427" s="15" t="s">
        <v>793</v>
      </c>
    </row>
    <row r="428" spans="1:2">
      <c r="A428" s="23"/>
      <c r="B428" s="15" t="s">
        <v>794</v>
      </c>
    </row>
    <row r="429" spans="1:2">
      <c r="A429" s="23"/>
      <c r="B429" s="15" t="s">
        <v>795</v>
      </c>
    </row>
    <row r="430" spans="1:2">
      <c r="A430" s="23"/>
      <c r="B430" s="15" t="s">
        <v>796</v>
      </c>
    </row>
    <row r="431" spans="1:2">
      <c r="A431" s="23"/>
      <c r="B431" s="15" t="s">
        <v>797</v>
      </c>
    </row>
    <row r="432" spans="1:2">
      <c r="A432" s="23"/>
      <c r="B432" s="15" t="s">
        <v>798</v>
      </c>
    </row>
    <row r="433" spans="1:2">
      <c r="A433" s="23"/>
      <c r="B433" s="15" t="s">
        <v>799</v>
      </c>
    </row>
    <row r="434" spans="1:2">
      <c r="A434" s="23"/>
      <c r="B434" s="15" t="s">
        <v>800</v>
      </c>
    </row>
    <row r="435" spans="1:2">
      <c r="A435" s="23"/>
      <c r="B435" s="15" t="s">
        <v>801</v>
      </c>
    </row>
    <row r="436" spans="1:2">
      <c r="A436" s="23"/>
      <c r="B436" s="15" t="s">
        <v>802</v>
      </c>
    </row>
    <row r="437" spans="1:2">
      <c r="A437" s="23"/>
      <c r="B437" s="15" t="s">
        <v>803</v>
      </c>
    </row>
    <row r="438" spans="1:2">
      <c r="A438" s="23"/>
      <c r="B438" s="15" t="s">
        <v>804</v>
      </c>
    </row>
    <row r="439" spans="1:2">
      <c r="A439" s="23"/>
      <c r="B439" s="15" t="s">
        <v>805</v>
      </c>
    </row>
    <row r="440" spans="1:2">
      <c r="A440" s="23"/>
      <c r="B440" s="15" t="s">
        <v>806</v>
      </c>
    </row>
    <row r="441" spans="1:2">
      <c r="A441" s="23"/>
      <c r="B441" s="15" t="s">
        <v>807</v>
      </c>
    </row>
    <row r="442" spans="1:2">
      <c r="A442" s="23"/>
      <c r="B442" s="15" t="s">
        <v>808</v>
      </c>
    </row>
    <row r="443" spans="1:2">
      <c r="A443" s="23"/>
      <c r="B443" s="15" t="s">
        <v>809</v>
      </c>
    </row>
    <row r="444" spans="1:2">
      <c r="A444" s="23"/>
      <c r="B444" s="15" t="s">
        <v>810</v>
      </c>
    </row>
    <row r="445" spans="1:2">
      <c r="A445" s="23"/>
      <c r="B445" s="15" t="s">
        <v>811</v>
      </c>
    </row>
    <row r="446" spans="1:2">
      <c r="A446" s="23"/>
      <c r="B446" s="15" t="s">
        <v>812</v>
      </c>
    </row>
    <row r="447" spans="1:2">
      <c r="A447" s="23"/>
      <c r="B447" s="15" t="s">
        <v>813</v>
      </c>
    </row>
    <row r="448" spans="1:2">
      <c r="A448" s="23"/>
      <c r="B448" s="15" t="s">
        <v>814</v>
      </c>
    </row>
    <row r="449" spans="1:2">
      <c r="A449" s="23"/>
      <c r="B449" s="15" t="s">
        <v>815</v>
      </c>
    </row>
    <row r="450" spans="1:2">
      <c r="A450" s="23"/>
      <c r="B450" s="15" t="s">
        <v>816</v>
      </c>
    </row>
    <row r="451" spans="1:2">
      <c r="A451" s="23"/>
      <c r="B451" s="15" t="s">
        <v>817</v>
      </c>
    </row>
    <row r="452" spans="1:2">
      <c r="A452" s="23"/>
      <c r="B452" s="15" t="s">
        <v>818</v>
      </c>
    </row>
    <row r="453" spans="1:2">
      <c r="A453" s="23"/>
      <c r="B453" s="15" t="s">
        <v>819</v>
      </c>
    </row>
    <row r="454" spans="1:2">
      <c r="A454" s="23"/>
      <c r="B454" s="15" t="s">
        <v>820</v>
      </c>
    </row>
    <row r="455" spans="1:2">
      <c r="A455" s="24"/>
      <c r="B455" s="15" t="s">
        <v>821</v>
      </c>
    </row>
    <row r="456" spans="1:2">
      <c r="A456" s="80" t="s">
        <v>857</v>
      </c>
      <c r="B456" s="1" t="s">
        <v>856</v>
      </c>
    </row>
    <row r="457" spans="1:2">
      <c r="A457" s="81"/>
      <c r="B457" s="15" t="s">
        <v>855</v>
      </c>
    </row>
    <row r="458" spans="1:2">
      <c r="A458" s="81"/>
      <c r="B458" s="15" t="s">
        <v>854</v>
      </c>
    </row>
    <row r="459" spans="1:2">
      <c r="A459" s="81"/>
      <c r="B459" s="15" t="s">
        <v>853</v>
      </c>
    </row>
    <row r="460" spans="1:2">
      <c r="A460" s="81"/>
      <c r="B460" s="15" t="s">
        <v>852</v>
      </c>
    </row>
    <row r="461" spans="1:2">
      <c r="A461" s="82"/>
      <c r="B461" s="15" t="s">
        <v>851</v>
      </c>
    </row>
    <row r="462" spans="1:2">
      <c r="A462" s="80" t="s">
        <v>858</v>
      </c>
      <c r="B462" s="1" t="s">
        <v>859</v>
      </c>
    </row>
    <row r="463" spans="1:2">
      <c r="A463" s="81"/>
      <c r="B463" s="15" t="s">
        <v>860</v>
      </c>
    </row>
    <row r="464" spans="1:2">
      <c r="A464" s="82"/>
      <c r="B464" s="15" t="s">
        <v>861</v>
      </c>
    </row>
    <row r="465" spans="1:2">
      <c r="A465" s="80" t="s">
        <v>862</v>
      </c>
      <c r="B465" s="1" t="s">
        <v>863</v>
      </c>
    </row>
    <row r="466" spans="1:2">
      <c r="A466" s="81"/>
      <c r="B466" s="15" t="s">
        <v>864</v>
      </c>
    </row>
    <row r="467" spans="1:2">
      <c r="A467" s="82"/>
      <c r="B467" s="15" t="s">
        <v>865</v>
      </c>
    </row>
    <row r="468" spans="1:2">
      <c r="A468" s="80" t="s">
        <v>866</v>
      </c>
      <c r="B468" s="1" t="s">
        <v>863</v>
      </c>
    </row>
    <row r="469" spans="1:2">
      <c r="A469" s="81"/>
      <c r="B469" s="15" t="s">
        <v>864</v>
      </c>
    </row>
    <row r="470" spans="1:2">
      <c r="A470" s="82"/>
      <c r="B470" s="15" t="s">
        <v>861</v>
      </c>
    </row>
    <row r="471" spans="1:2">
      <c r="A471" s="80" t="s">
        <v>867</v>
      </c>
      <c r="B471" s="1" t="s">
        <v>868</v>
      </c>
    </row>
    <row r="472" spans="1:2">
      <c r="A472" s="81"/>
      <c r="B472" s="15" t="s">
        <v>869</v>
      </c>
    </row>
    <row r="473" spans="1:2">
      <c r="A473" s="82"/>
      <c r="B473" s="15" t="s">
        <v>861</v>
      </c>
    </row>
    <row r="474" spans="1:2">
      <c r="A474" s="80" t="s">
        <v>870</v>
      </c>
      <c r="B474" s="1" t="s">
        <v>856</v>
      </c>
    </row>
    <row r="475" spans="1:2">
      <c r="A475" s="81"/>
      <c r="B475" s="15" t="s">
        <v>855</v>
      </c>
    </row>
    <row r="476" spans="1:2">
      <c r="A476" s="81"/>
      <c r="B476" s="15" t="s">
        <v>854</v>
      </c>
    </row>
    <row r="477" spans="1:2">
      <c r="A477" s="81"/>
      <c r="B477" s="15" t="s">
        <v>853</v>
      </c>
    </row>
    <row r="478" spans="1:2">
      <c r="A478" s="81"/>
      <c r="B478" s="15" t="s">
        <v>852</v>
      </c>
    </row>
    <row r="479" spans="1:2">
      <c r="A479" s="82"/>
      <c r="B479" s="15" t="s">
        <v>851</v>
      </c>
    </row>
    <row r="480" spans="1:2">
      <c r="A480" s="80" t="s">
        <v>871</v>
      </c>
      <c r="B480" s="1" t="s">
        <v>872</v>
      </c>
    </row>
    <row r="481" spans="1:2">
      <c r="A481" s="82"/>
      <c r="B481" s="15" t="s">
        <v>861</v>
      </c>
    </row>
    <row r="482" spans="1:2">
      <c r="A482" s="80" t="s">
        <v>873</v>
      </c>
      <c r="B482" s="1" t="s">
        <v>868</v>
      </c>
    </row>
    <row r="483" spans="1:2">
      <c r="A483" s="81"/>
      <c r="B483" s="15" t="s">
        <v>869</v>
      </c>
    </row>
    <row r="484" spans="1:2">
      <c r="A484" s="82"/>
      <c r="B484" s="15" t="s">
        <v>861</v>
      </c>
    </row>
    <row r="485" spans="1:2">
      <c r="A485" s="80" t="s">
        <v>874</v>
      </c>
      <c r="B485" s="1" t="s">
        <v>875</v>
      </c>
    </row>
    <row r="486" spans="1:2">
      <c r="A486" s="82"/>
      <c r="B486" s="15" t="s">
        <v>861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이름이 지정된 범위</vt:lpstr>
      </vt:variant>
      <vt:variant>
        <vt:i4>34</vt:i4>
      </vt:variant>
    </vt:vector>
  </HeadingPairs>
  <TitlesOfParts>
    <vt:vector size="47" baseType="lpstr">
      <vt:lpstr>Cover</vt:lpstr>
      <vt:lpstr>KPI(성과지표)그래프</vt:lpstr>
      <vt:lpstr>탄소배출량 계산근거자료 23년</vt:lpstr>
      <vt:lpstr>탄소배출량 계산근거자료 2024년</vt:lpstr>
      <vt:lpstr>Information</vt:lpstr>
      <vt:lpstr>Summary</vt:lpstr>
      <vt:lpstr>Management</vt:lpstr>
      <vt:lpstr>Emissions</vt:lpstr>
      <vt:lpstr>Factory</vt:lpstr>
      <vt:lpstr>Product</vt:lpstr>
      <vt:lpstr>Hybrid</vt:lpstr>
      <vt:lpstr>Ref)EEIO</vt:lpstr>
      <vt:lpstr>Ref</vt:lpstr>
      <vt:lpstr>Alcoholic_beverages</vt:lpstr>
      <vt:lpstr>Animal_food_mfg</vt:lpstr>
      <vt:lpstr>Animal_slaughtering_proc</vt:lpstr>
      <vt:lpstr>Bakeries_tortilla_mfg</vt:lpstr>
      <vt:lpstr>Chemical_prods</vt:lpstr>
      <vt:lpstr>Computer_and_electronic_product_mfg</vt:lpstr>
      <vt:lpstr>Construction</vt:lpstr>
      <vt:lpstr>Dairy_prods</vt:lpstr>
      <vt:lpstr>Electrical_equipment_appliance_and_component_mfg</vt:lpstr>
      <vt:lpstr>Electricity</vt:lpstr>
      <vt:lpstr>Fabricated_metal_product_mfg</vt:lpstr>
      <vt:lpstr>Farms</vt:lpstr>
      <vt:lpstr>Fruit_Vegetable_preserving</vt:lpstr>
      <vt:lpstr>Furniture_related_prods</vt:lpstr>
      <vt:lpstr>Grain_oilseed_milling</vt:lpstr>
      <vt:lpstr>Mining_exc_oil_gas</vt:lpstr>
      <vt:lpstr>Miscellaneous_mfg</vt:lpstr>
      <vt:lpstr>Motor_vehicles_bodies_trailers_parts</vt:lpstr>
      <vt:lpstr>Nonmetallic_mineral_prods</vt:lpstr>
      <vt:lpstr>Oil_gas_extraction</vt:lpstr>
      <vt:lpstr>Other_food_mfg</vt:lpstr>
      <vt:lpstr>Other_petroleum_coal_prods</vt:lpstr>
      <vt:lpstr>Other_transport_equip</vt:lpstr>
      <vt:lpstr>Paper_products</vt:lpstr>
      <vt:lpstr>Plastics_rubber_prods</vt:lpstr>
      <vt:lpstr>Primary_metals</vt:lpstr>
      <vt:lpstr>'KPI(성과지표)그래프'!Print_Area</vt:lpstr>
      <vt:lpstr>Printing_related_support_activities</vt:lpstr>
      <vt:lpstr>Seafood_product_prep_packaging</vt:lpstr>
      <vt:lpstr>Soft_drink_ice_mfg</vt:lpstr>
      <vt:lpstr>Sugar_confectionery_product_mfg</vt:lpstr>
      <vt:lpstr>Textile_mills_apparel</vt:lpstr>
      <vt:lpstr>Tobacco_product_mfg</vt:lpstr>
      <vt:lpstr>Wood_prods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Kim</dc:creator>
  <cp:lastModifiedBy>ktkim2025@hotmail.com</cp:lastModifiedBy>
  <cp:lastPrinted>2025-02-28T06:14:55Z</cp:lastPrinted>
  <dcterms:created xsi:type="dcterms:W3CDTF">2023-12-08T02:37:56Z</dcterms:created>
  <dcterms:modified xsi:type="dcterms:W3CDTF">2025-08-21T23:57:34Z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