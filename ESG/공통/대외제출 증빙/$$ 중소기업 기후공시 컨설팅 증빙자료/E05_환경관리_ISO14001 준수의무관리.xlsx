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1. 삼화당 업무자료\A. ESG (환경, 안전, 지속경영)\$$ 중소기업 기후공시 컨설팅 증빙자료\"/>
    </mc:Choice>
  </mc:AlternateContent>
  <xr:revisionPtr revIDLastSave="0" documentId="8_{92F08576-2A49-4674-8132-BAAA06ADFD8E}" xr6:coauthVersionLast="47" xr6:coauthVersionMax="47" xr10:uidLastSave="{00000000-0000-0000-0000-000000000000}"/>
  <bookViews>
    <workbookView xWindow="-120" yWindow="-120" windowWidth="29040" windowHeight="15840" tabRatio="633" xr2:uid="{00000000-000D-0000-FFFF-FFFF00000000}"/>
  </bookViews>
  <sheets>
    <sheet name="甲지" sheetId="6" r:id="rId1"/>
    <sheet name="乙지" sheetId="9" r:id="rId2"/>
    <sheet name="丙지" sheetId="10" r:id="rId3"/>
    <sheet name="5.1(폐기물관리법)" sheetId="12" r:id="rId4"/>
    <sheet name="5.1(산업안전보건법)" sheetId="13" r:id="rId5"/>
    <sheet name="5.1(소방법)" sheetId="14" r:id="rId6"/>
    <sheet name="5.1(화학물질관리법)" sheetId="15" r:id="rId7"/>
    <sheet name="5.1(대기환경보전법)" sheetId="16" r:id="rId8"/>
    <sheet name="5.2(등록부)" sheetId="1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1_0" localSheetId="7">[1]Sheet1!#REF!</definedName>
    <definedName name="_1_0">[1]Sheet1!#REF!</definedName>
    <definedName name="_2_0" localSheetId="7">'[2]TNC(1안)'!#REF!</definedName>
    <definedName name="_2_0">'[2]TNC(1안)'!#REF!</definedName>
    <definedName name="_3_0사업장" localSheetId="7">[1]Sheet1!#REF!</definedName>
    <definedName name="_3_0사업장">[1]Sheet1!#REF!</definedName>
    <definedName name="_4_0원가" localSheetId="7">[1]Sheet1!#REF!</definedName>
    <definedName name="_4_0원가">[1]Sheet1!#REF!</definedName>
    <definedName name="_5a2_" localSheetId="7">#REF!</definedName>
    <definedName name="_5a2_">#REF!</definedName>
    <definedName name="_9연봉입력" localSheetId="7">#REF!</definedName>
    <definedName name="_9연봉입력">#REF!</definedName>
    <definedName name="_Fill" localSheetId="7" hidden="1">#REF!</definedName>
    <definedName name="_Fill" hidden="1">#REF!</definedName>
    <definedName name="_Key1" localSheetId="7" hidden="1">#REF!</definedName>
    <definedName name="_Key1" hidden="1">#REF!</definedName>
    <definedName name="_Order1" hidden="1">255</definedName>
    <definedName name="_PRT1" localSheetId="7">#REF!</definedName>
    <definedName name="_PRT1">#REF!</definedName>
    <definedName name="_Sort" localSheetId="7" hidden="1">#REF!</definedName>
    <definedName name="_Sort" hidden="1">#REF!</definedName>
    <definedName name="´e±¸">[3]대구!$I$10:$K$48</definedName>
    <definedName name="¿e¿￢">[3]용연!$I$10:$K$48</definedName>
    <definedName name="¿i≫e">[3]울산!$I$10:$K$125</definedName>
    <definedName name="¿ø°¡" localSheetId="7">'[3]#REF'!#REF!</definedName>
    <definedName name="¿ø°¡">'[3]#REF'!#REF!</definedName>
    <definedName name="¿ø°¡Ay°¨" localSheetId="7">'[3]#REF'!#REF!</definedName>
    <definedName name="¿ø°¡Ay°¨">'[3]#REF'!#REF!</definedName>
    <definedName name="\a">'[4]#REF'!$B$47:$C$56</definedName>
    <definedName name="\s">#N/A</definedName>
    <definedName name="±¸¹I">[3]구미!$I$10:$K$48</definedName>
    <definedName name="±¤AO">[3]광주!$I$10:$K$48</definedName>
    <definedName name="≫c¾÷AaAN°y" localSheetId="7">'[3]#REF'!#REF!</definedName>
    <definedName name="≫c¾÷AaAN°y">'[3]#REF'!#REF!</definedName>
    <definedName name="¾ð¾c">[3]언양!$I$10:$K$86</definedName>
    <definedName name="¹æ≫c1" localSheetId="7">'[3]#REF'!#REF!</definedName>
    <definedName name="¹æ≫c1">'[3]#REF'!#REF!</definedName>
    <definedName name="¹æ1ny≫y≫e·R" localSheetId="7">'[3]#REF'!#REF!</definedName>
    <definedName name="¹æ1ny≫y≫e·R">'[3]#REF'!#REF!</definedName>
    <definedName name="a" localSheetId="7">#REF!</definedName>
    <definedName name="a">#REF!</definedName>
    <definedName name="aa" localSheetId="7">[5]Sheet1!#REF!</definedName>
    <definedName name="aa">[5]Sheet1!#REF!</definedName>
    <definedName name="ab" localSheetId="7">#REF!</definedName>
    <definedName name="ab">#REF!</definedName>
    <definedName name="ac">[6]진천!$I$10:$K$42</definedName>
    <definedName name="ACCESS중급" localSheetId="7">#REF!</definedName>
    <definedName name="ACCESS중급">#REF!</definedName>
    <definedName name="ACCESS초급" localSheetId="7">#REF!</definedName>
    <definedName name="ACCESS초급">#REF!</definedName>
    <definedName name="ad">[6]진천!$I$10:$K$52</definedName>
    <definedName name="ae">[7]용연!$I$10:$K$49</definedName>
    <definedName name="af">[8]중연!$I$10:$K$48</definedName>
    <definedName name="ag">[7]용연!$I$10:$K$48</definedName>
    <definedName name="ah">[7]용연!$I$10:$K$48</definedName>
    <definedName name="ai">[9]광주!$I$10:$K$49</definedName>
    <definedName name="aj">[7]용연!$I$10:$K$48</definedName>
    <definedName name="ak">[10]울산!$I$10:$K$122</definedName>
    <definedName name="al" localSheetId="7">#REF!</definedName>
    <definedName name="al">#REF!</definedName>
    <definedName name="am" localSheetId="7">#REF!</definedName>
    <definedName name="am">#REF!</definedName>
    <definedName name="an">[7]용연!$I$10:$K$48</definedName>
    <definedName name="ao" localSheetId="7">#REF!</definedName>
    <definedName name="ao">#REF!</definedName>
    <definedName name="AøAμ">[3]진천!$I$10:$K$42</definedName>
    <definedName name="Aß¿￢">[3]중연!$I$10:$K$48</definedName>
    <definedName name="at">[11]Macro!$F$1</definedName>
    <definedName name="aw">[12]손익총괄!$A$99</definedName>
    <definedName name="ax" localSheetId="7">#REF!</definedName>
    <definedName name="ax">#REF!</definedName>
    <definedName name="ay" localSheetId="7">#REF!</definedName>
    <definedName name="ay">#REF!</definedName>
    <definedName name="az">[10]울산!$I$10:$K$125</definedName>
    <definedName name="b" localSheetId="7">'[4]#REF'!#REF!</definedName>
    <definedName name="b">'[4]#REF'!#REF!</definedName>
    <definedName name="ba">[13]언양!$I$10:$K$86</definedName>
    <definedName name="bb">#N/A</definedName>
    <definedName name="BBB" localSheetId="7">#REF!</definedName>
    <definedName name="BBB">#REF!</definedName>
    <definedName name="bc" localSheetId="7">#REF!</definedName>
    <definedName name="bc">#REF!</definedName>
    <definedName name="bd" localSheetId="7">#REF!</definedName>
    <definedName name="bd">#REF!</definedName>
    <definedName name="be">[14]대구!$I$10:$K$45</definedName>
    <definedName name="bf" localSheetId="7">#REF!</definedName>
    <definedName name="bf">#REF!</definedName>
    <definedName name="bg">[7]용연!$I$10:$K$48</definedName>
    <definedName name="bh">[7]용연!$I$10:$K$48</definedName>
    <definedName name="CAR" localSheetId="7">#REF!</definedName>
    <definedName name="CAR">#REF!</definedName>
    <definedName name="CARTO" localSheetId="7">#REF!</definedName>
    <definedName name="CARTO">#REF!</definedName>
    <definedName name="cc">[9]광주!$I$10:$K$48</definedName>
    <definedName name="CNPOR1C1R55C11RTRTCNR1C12R55C26" localSheetId="7">#REF!</definedName>
    <definedName name="CNPOR1C1R55C11RTRTCNR1C12R55C26">#REF!</definedName>
    <definedName name="CNPOR240C1R291C11RTRTCNPOR240C1" localSheetId="7">#REF!</definedName>
    <definedName name="CNPOR240C1R291C11RTRTCNPOR240C1">#REF!</definedName>
    <definedName name="CNPOR242C1R297C11RTRTCNPOR242C1" localSheetId="7">#REF!</definedName>
    <definedName name="CNPOR242C1R297C11RTRTCNPOR242C1">#REF!</definedName>
    <definedName name="CNPOR262C1R325C11RTRTCNPOR262C1" localSheetId="7">#REF!</definedName>
    <definedName name="CNPOR262C1R325C11RTRTCNPOR262C1">#REF!</definedName>
    <definedName name="CNPOR265C1R329C11RTRTCNPOR265C1" localSheetId="7">#REF!</definedName>
    <definedName name="CNPOR265C1R329C11RTRTCNPOR265C1">#REF!</definedName>
    <definedName name="CNPOR275C1R339C11RTRTCNPOR275C1" localSheetId="7">#REF!</definedName>
    <definedName name="CNPOR275C1R339C11RTRTCNPOR275C1">#REF!</definedName>
    <definedName name="CNPOR2C1R53C43RTRTCNTCRTCNTRTCJ" localSheetId="7">#REF!</definedName>
    <definedName name="CNPOR2C1R53C43RTRTCNTCRTCNTRTCJ">#REF!</definedName>
    <definedName name="CNPOR2C1R59C11RTRTCNPOR2C12R59C" localSheetId="7">#REF!</definedName>
    <definedName name="CNPOR2C1R59C11RTRTCNPOR2C12R59C">#REF!</definedName>
    <definedName name="CNPSKS12C7LRTM0RTOR178C1R253C11" localSheetId="7">#REF!</definedName>
    <definedName name="CNPSKS12C7LRTM0RTOR178C1R253C11">#REF!</definedName>
    <definedName name="_xlnm.Criteria" localSheetId="7">[15]비용!#REF!</definedName>
    <definedName name="_xlnm.Criteria">[15]비용!#REF!</definedName>
    <definedName name="d" localSheetId="7">[16]연령현황!#REF!</definedName>
    <definedName name="d">[16]연령현황!#REF!</definedName>
    <definedName name="DAEGU">[14]대구!$I$10:$K$14</definedName>
    <definedName name="data2" localSheetId="7">#REF!</definedName>
    <definedName name="data2">#REF!</definedName>
    <definedName name="_xlnm.Database" localSheetId="7">#REF!</definedName>
    <definedName name="_xlnm.Database">#REF!</definedName>
    <definedName name="dd">[14]대구!$I$10:$K$48</definedName>
    <definedName name="DF">[17]대구!$I$10:$K$48</definedName>
    <definedName name="e" localSheetId="7">#REF!</definedName>
    <definedName name="e">#REF!</definedName>
    <definedName name="ee" localSheetId="7">[5]Sheet1!#REF!</definedName>
    <definedName name="ee">[5]Sheet1!#REF!</definedName>
    <definedName name="ENP" localSheetId="7">#REF!</definedName>
    <definedName name="ENP">#REF!</definedName>
    <definedName name="EXCEL고급" localSheetId="7">#REF!</definedName>
    <definedName name="EXCEL고급">#REF!</definedName>
    <definedName name="EXCEL중급" localSheetId="7">#REF!</definedName>
    <definedName name="EXCEL중급">#REF!</definedName>
    <definedName name="f" localSheetId="7">#REF!</definedName>
    <definedName name="f">#REF!</definedName>
    <definedName name="FCTBTB0RTCFTBRKRKRKRKRKRKRKRKRK" localSheetId="7">#REF!</definedName>
    <definedName name="FCTBTB0RTCFTBRKRKRKRKRKRKRKRKRK">#REF!</definedName>
    <definedName name="ff" localSheetId="7">#REF!</definedName>
    <definedName name="ff">#REF!</definedName>
    <definedName name="g" localSheetId="7">#REF!</definedName>
    <definedName name="g">#REF!</definedName>
    <definedName name="gg">[13]언양!$I$10:$K$86</definedName>
    <definedName name="GUMI">[18]구미!$I$10:$K$48</definedName>
    <definedName name="gumi02.k">[18]구미!$R$10:$T$48</definedName>
    <definedName name="h" localSheetId="7">#REF!</definedName>
    <definedName name="h">#REF!</definedName>
    <definedName name="HEC" localSheetId="7">#REF!</definedName>
    <definedName name="HEC">#REF!</definedName>
    <definedName name="hh">[7]용연!$I$10:$K$48</definedName>
    <definedName name="HWP" localSheetId="7">#REF!</definedName>
    <definedName name="HWP">#REF!</definedName>
    <definedName name="i" localSheetId="7">#REF!</definedName>
    <definedName name="i">#REF!</definedName>
    <definedName name="ii">[10]울산!$I$10:$K$125</definedName>
    <definedName name="INTERNET중급" localSheetId="7">#REF!</definedName>
    <definedName name="INTERNET중급">#REF!</definedName>
    <definedName name="INTERNET초급" localSheetId="7">#REF!</definedName>
    <definedName name="INTERNET초급">#REF!</definedName>
    <definedName name="item01" localSheetId="7">#REF!</definedName>
    <definedName name="item01">#REF!</definedName>
    <definedName name="item02" localSheetId="7">#REF!</definedName>
    <definedName name="item02">#REF!</definedName>
    <definedName name="item03" localSheetId="7">#REF!</definedName>
    <definedName name="item03">#REF!</definedName>
    <definedName name="item04" localSheetId="7">#REF!</definedName>
    <definedName name="item04">#REF!</definedName>
    <definedName name="item05" localSheetId="7">#REF!</definedName>
    <definedName name="item05">#REF!</definedName>
    <definedName name="j" localSheetId="7">#REF!</definedName>
    <definedName name="j">#REF!</definedName>
    <definedName name="JINCHO05">[6]진천!$I$10:$K$42</definedName>
    <definedName name="JINCHON">[6]진천!$I$10:$K$52</definedName>
    <definedName name="jj" localSheetId="7">#REF!</definedName>
    <definedName name="jj">#REF!</definedName>
    <definedName name="jjj">[7]용연!$I$10:$K$49</definedName>
    <definedName name="jungyon">[8]중연!$I$10:$K$48</definedName>
    <definedName name="K">[7]용연!$I$10:$K$48</definedName>
    <definedName name="kk" localSheetId="7">[5]Sheet1!#REF!</definedName>
    <definedName name="kk">[5]Sheet1!#REF!</definedName>
    <definedName name="kkk" localSheetId="7">#REF!</definedName>
    <definedName name="kkk">#REF!</definedName>
    <definedName name="KSVT" localSheetId="7">#REF!</definedName>
    <definedName name="KSVT">#REF!</definedName>
    <definedName name="kwangju">[9]광주!$I$10:$K$49</definedName>
    <definedName name="L">[7]용연!$I$10:$K$48</definedName>
    <definedName name="LIM" localSheetId="7">#REF!</definedName>
    <definedName name="LIM">#REF!</definedName>
    <definedName name="ll" localSheetId="7">#REF!</definedName>
    <definedName name="ll">#REF!</definedName>
    <definedName name="LLL">[10]울산!$I$10:$K$122</definedName>
    <definedName name="M" localSheetId="7">[2]일급제인원실적!#REF!</definedName>
    <definedName name="M">[2]일급제인원실적!#REF!</definedName>
    <definedName name="MAT" localSheetId="7">#REF!</definedName>
    <definedName name="MAT">#REF!</definedName>
    <definedName name="mm">[8]중연!$I$10:$K$48</definedName>
    <definedName name="MSWORD" localSheetId="7">#REF!</definedName>
    <definedName name="MSWORD">#REF!</definedName>
    <definedName name="nn">[6]진천!$I$10:$K$42</definedName>
    <definedName name="oo" localSheetId="7">#REF!</definedName>
    <definedName name="oo">#REF!</definedName>
    <definedName name="OT" localSheetId="7">[2]고합!#REF!</definedName>
    <definedName name="OT">[2]고합!#REF!</definedName>
    <definedName name="P" localSheetId="7">[2]월급제인원실적!#REF!</definedName>
    <definedName name="P">[2]월급제인원실적!#REF!</definedName>
    <definedName name="PL법" localSheetId="7">#REF!</definedName>
    <definedName name="PL법">#REF!</definedName>
    <definedName name="POWERPOINT" localSheetId="7">#REF!</definedName>
    <definedName name="POWERPOINT">#REF!</definedName>
    <definedName name="PP" localSheetId="7">#REF!</definedName>
    <definedName name="PP">#REF!</definedName>
    <definedName name="PPP" localSheetId="7">[19]본사인상전!#REF!</definedName>
    <definedName name="PPP">[19]본사인상전!#REF!</definedName>
    <definedName name="pri" localSheetId="7">#REF!</definedName>
    <definedName name="pri">#REF!</definedName>
    <definedName name="_xlnm.Print_Area" localSheetId="7">#REF!</definedName>
    <definedName name="_xlnm.Print_Area" localSheetId="0">甲지!$B$2:$AF$32</definedName>
    <definedName name="_xlnm.Print_Area" localSheetId="2">丙지!$B$2:$AH$36</definedName>
    <definedName name="_xlnm.Print_Area" localSheetId="1">乙지!$B$3:$AH$44</definedName>
    <definedName name="_xlnm.Print_Area">#REF!</definedName>
    <definedName name="Print_Area_MI" localSheetId="7">'[4]1-12월'!#REF!</definedName>
    <definedName name="Print_Area_MI">'[4]1-12월'!#REF!</definedName>
    <definedName name="PRINT_AREA_MI1" localSheetId="7">#REF!</definedName>
    <definedName name="PRINT_AREA_MI1">#REF!</definedName>
    <definedName name="_xlnm.Print_Titles" localSheetId="7">#REF!</definedName>
    <definedName name="_xlnm.Print_Titles">#REF!</definedName>
    <definedName name="Print_Titles_MI" localSheetId="7">#REF!</definedName>
    <definedName name="Print_Titles_MI">#REF!</definedName>
    <definedName name="PRINT_TITLES_MI1" localSheetId="7">#REF!</definedName>
    <definedName name="PRINT_TITLES_MI1">#REF!</definedName>
    <definedName name="PRINT5">[20]Macro!$F$1</definedName>
    <definedName name="q">[21]손익총괄!$A$99</definedName>
    <definedName name="qq" localSheetId="7">#REF!</definedName>
    <definedName name="qq">#REF!</definedName>
    <definedName name="QQQ" localSheetId="7">#REF!</definedName>
    <definedName name="QQQ">#REF!</definedName>
    <definedName name="rr" localSheetId="7">#REF!</definedName>
    <definedName name="rr">#REF!</definedName>
    <definedName name="s">[2]월급제부서원가별!$G$1</definedName>
    <definedName name="SDA_2X" localSheetId="7">#REF!</definedName>
    <definedName name="SDA_2X">#REF!</definedName>
    <definedName name="SPC" localSheetId="7">#REF!</definedName>
    <definedName name="SPC">#REF!</definedName>
    <definedName name="SQC" localSheetId="7">#REF!</definedName>
    <definedName name="SQC">#REF!</definedName>
    <definedName name="ss">[14]대구!$I$10:$K$14</definedName>
    <definedName name="t">[2]일급제부서원가별!$E$1</definedName>
    <definedName name="TEX" localSheetId="7">#REF!</definedName>
    <definedName name="TEX">#REF!</definedName>
    <definedName name="TEXTO" localSheetId="7">#REF!</definedName>
    <definedName name="TEXTO">#REF!</definedName>
    <definedName name="TPM기본" localSheetId="7">#REF!</definedName>
    <definedName name="TPM기본">#REF!</definedName>
    <definedName name="TPM심화" localSheetId="7">#REF!</definedName>
    <definedName name="TPM심화">#REF!</definedName>
    <definedName name="tt" localSheetId="7">#REF!</definedName>
    <definedName name="tt">#REF!</definedName>
    <definedName name="U" localSheetId="7">#REF!</definedName>
    <definedName name="U">#REF!</definedName>
    <definedName name="ULSAN">[10]울산!$I$10:$K$125</definedName>
    <definedName name="UNYANG">[13]언양!$I$10:$K$86</definedName>
    <definedName name="uu">[18]구미!$I$10:$K$48</definedName>
    <definedName name="VBM기본" localSheetId="7">#REF!</definedName>
    <definedName name="VBM기본">#REF!</definedName>
    <definedName name="VBM전략" localSheetId="7">#REF!</definedName>
    <definedName name="VBM전략">#REF!</definedName>
    <definedName name="vv">[18]구미!$R$10:$T$48</definedName>
    <definedName name="WIR" localSheetId="7">#REF!</definedName>
    <definedName name="WIR">#REF!</definedName>
    <definedName name="WIRTO" localSheetId="7">#REF!</definedName>
    <definedName name="WIRTO">#REF!</definedName>
    <definedName name="ww" localSheetId="7">#REF!</definedName>
    <definedName name="ww">#REF!</definedName>
    <definedName name="X">[14]대구!$I$10:$K$45</definedName>
    <definedName name="xx" localSheetId="7">#REF!</definedName>
    <definedName name="xx">#REF!</definedName>
    <definedName name="YARN" localSheetId="7">#REF!</definedName>
    <definedName name="YARN">#REF!</definedName>
    <definedName name="YONGYUN">[7]용연!$I$10:$K$48</definedName>
    <definedName name="YONHYUN">[7]용연!$I$10:$K$48</definedName>
    <definedName name="yy" localSheetId="7">#REF!</definedName>
    <definedName name="yy">#REF!</definedName>
    <definedName name="zz" localSheetId="7">#REF!</definedName>
    <definedName name="zz">#REF!</definedName>
    <definedName name="갈등관리" localSheetId="7">#REF!</definedName>
    <definedName name="갈등관리">#REF!</definedName>
    <definedName name="거래선">'[22]10고객별 담당자'!$A$3:$D$892</definedName>
    <definedName name="경영계획수립" localSheetId="7">#REF!</definedName>
    <definedName name="경영계획수립">#REF!</definedName>
    <definedName name="광주">[9]광주!$I$10:$K$48</definedName>
    <definedName name="구미">[18]구미!$I$10:$K$48</definedName>
    <definedName name="구미1" localSheetId="7">#REF!</definedName>
    <definedName name="구미1">#REF!</definedName>
    <definedName name="국제매너" localSheetId="7">#REF!</definedName>
    <definedName name="국제매너">#REF!</definedName>
    <definedName name="국제협상" localSheetId="7">#REF!</definedName>
    <definedName name="국제협상">#REF!</definedName>
    <definedName name="근속" localSheetId="7">[2]고합!#REF!</definedName>
    <definedName name="근속">[2]고합!#REF!</definedName>
    <definedName name="기본" localSheetId="7">[2]고합!#REF!</definedName>
    <definedName name="기본">[2]고합!#REF!</definedName>
    <definedName name="기저14" localSheetId="7">'[23]#REF'!#REF!</definedName>
    <definedName name="기저14">'[23]#REF'!#REF!</definedName>
    <definedName name="기전1" localSheetId="7" hidden="1">#REF!</definedName>
    <definedName name="기전1" hidden="1">#REF!</definedName>
    <definedName name="기전10" localSheetId="7">#REF!</definedName>
    <definedName name="기전10">#REF!</definedName>
    <definedName name="기전11">[23]용연!$I$10:$K$48</definedName>
    <definedName name="기전12">[23]울산!$I$10:$K$125</definedName>
    <definedName name="기전13" localSheetId="7">'[23]#REF'!#REF!</definedName>
    <definedName name="기전13">'[23]#REF'!#REF!</definedName>
    <definedName name="기전15">[23]진천!$I$10:$K$42</definedName>
    <definedName name="기전2">[23]구미!$I$10:$K$48</definedName>
    <definedName name="기전3">[23]대구!$I$10:$K$48</definedName>
    <definedName name="기전4" localSheetId="7">#REF!</definedName>
    <definedName name="기전4">#REF!</definedName>
    <definedName name="기전5" localSheetId="7">'[23]#REF'!#REF!</definedName>
    <definedName name="기전5">'[23]#REF'!#REF!</definedName>
    <definedName name="기전6" localSheetId="7">'[23]#REF'!#REF!</definedName>
    <definedName name="기전6">'[23]#REF'!#REF!</definedName>
    <definedName name="기전7" localSheetId="7">'[23]#REF'!#REF!</definedName>
    <definedName name="기전7">'[23]#REF'!#REF!</definedName>
    <definedName name="기전8">[23]언양!$I$10:$K$86</definedName>
    <definedName name="기존" localSheetId="7">#REF!</definedName>
    <definedName name="기존">#REF!</definedName>
    <definedName name="낭비개선" localSheetId="7">#REF!</definedName>
    <definedName name="낭비개선">#REF!</definedName>
    <definedName name="단가">'[24]07제품별수익성'!$F$2:$J$723</definedName>
    <definedName name="단위원가">'[25]06제품별수익성'!$F$2:$J$828</definedName>
    <definedName name="담당자">'[26]11고객별 담당자'!$A$3:$D$928</definedName>
    <definedName name="대구">[14]대구!$I$10:$K$48</definedName>
    <definedName name="대상" localSheetId="7">#REF!</definedName>
    <definedName name="대상">#REF!</definedName>
    <definedName name="동력팀" localSheetId="7">#REF!</definedName>
    <definedName name="동력팀">#REF!</definedName>
    <definedName name="리더십" localSheetId="7">#REF!</definedName>
    <definedName name="리더십">#REF!</definedName>
    <definedName name="마케팅" localSheetId="7">#REF!</definedName>
    <definedName name="마케팅">#REF!</definedName>
    <definedName name="마케팅기본" localSheetId="7">#REF!</definedName>
    <definedName name="마케팅기본">#REF!</definedName>
    <definedName name="마케팅심화" localSheetId="7">#REF!</definedName>
    <definedName name="마케팅심화">#REF!</definedName>
    <definedName name="마케팅전략" localSheetId="7">#REF!</definedName>
    <definedName name="마케팅전략">#REF!</definedName>
    <definedName name="매익" localSheetId="7">#REF!</definedName>
    <definedName name="매익">#REF!</definedName>
    <definedName name="메ㅔ">[9]광주!$I$10:$K$48</definedName>
    <definedName name="문제해결" localSheetId="7">#REF!</definedName>
    <definedName name="문제해결">#REF!</definedName>
    <definedName name="미혼" localSheetId="7">[2]고합!#REF!</definedName>
    <definedName name="미혼">[2]고합!#REF!</definedName>
    <definedName name="바보" localSheetId="7">[2]일급제인원실적!#REF!</definedName>
    <definedName name="바보">[2]일급제인원실적!#REF!</definedName>
    <definedName name="방1ny생산량" localSheetId="7">'[4]#REF'!#REF!</definedName>
    <definedName name="방1ny생산량">'[4]#REF'!#REF!</definedName>
    <definedName name="방사1" localSheetId="7">'[4]#REF'!#REF!</definedName>
    <definedName name="방사1">'[4]#REF'!#REF!</definedName>
    <definedName name="배우자" localSheetId="7">[2]고합!#REF!</definedName>
    <definedName name="배우자">[2]고합!#REF!</definedName>
    <definedName name="변압기" localSheetId="7">#REF!</definedName>
    <definedName name="변압기">#REF!</definedName>
    <definedName name="보고서" localSheetId="7">#REF!</definedName>
    <definedName name="보고서">#REF!</definedName>
    <definedName name="복지" localSheetId="7">[2]고합!#REF!</definedName>
    <definedName name="복지">[2]고합!#REF!</definedName>
    <definedName name="본봉" localSheetId="7">[2]고합!#REF!</definedName>
    <definedName name="본봉">[2]고합!#REF!</definedName>
    <definedName name="부모" localSheetId="7">[2]고합!#REF!</definedName>
    <definedName name="부모">[2]고합!#REF!</definedName>
    <definedName name="부하육성" localSheetId="7">#REF!</definedName>
    <definedName name="부하육성">#REF!</definedName>
    <definedName name="비지니스레터" localSheetId="7">#REF!</definedName>
    <definedName name="비지니스레터">#REF!</definedName>
    <definedName name="사업장총괄" localSheetId="7">#REF!</definedName>
    <definedName name="사업장총괄">#REF!</definedName>
    <definedName name="사업장총괄2" localSheetId="7">#REF!</definedName>
    <definedName name="사업장총괄2">#REF!</definedName>
    <definedName name="산업기계" localSheetId="7">#REF!</definedName>
    <definedName name="산업기계">#REF!</definedName>
    <definedName name="생산전문가" localSheetId="7">#REF!</definedName>
    <definedName name="생산전문가">#REF!</definedName>
    <definedName name="서식" localSheetId="7">#REF!</definedName>
    <definedName name="서식">#REF!</definedName>
    <definedName name="서식임" localSheetId="7">#REF!</definedName>
    <definedName name="서식임">#REF!</definedName>
    <definedName name="섬유원료" localSheetId="7">#REF!</definedName>
    <definedName name="섬유원료">#REF!</definedName>
    <definedName name="성과" localSheetId="7">[2]고합!#REF!</definedName>
    <definedName name="성과">[2]고합!#REF!</definedName>
    <definedName name="성형PU" localSheetId="7">#REF!</definedName>
    <definedName name="성형PU">#REF!</definedName>
    <definedName name="수정원가">'[27]07DATA'!$L$2:$M$282</definedName>
    <definedName name="수출입실무" localSheetId="7">#REF!</definedName>
    <definedName name="수출입실무">#REF!</definedName>
    <definedName name="수판" localSheetId="7">#REF!</definedName>
    <definedName name="수판">#REF!</definedName>
    <definedName name="순기본" localSheetId="7">[28]인상효1!#REF!</definedName>
    <definedName name="순기본">[28]인상효1!#REF!</definedName>
    <definedName name="신뢰성공학" localSheetId="7">#REF!</definedName>
    <definedName name="신뢰성공학">#REF!</definedName>
    <definedName name="실적전망" localSheetId="7">#REF!</definedName>
    <definedName name="실적전망">#REF!</definedName>
    <definedName name="실험계획법" localSheetId="7">#REF!</definedName>
    <definedName name="실험계획법">#REF!</definedName>
    <definedName name="안양일정" localSheetId="7">[29]비용!#REF!</definedName>
    <definedName name="안양일정">[29]비용!#REF!</definedName>
    <definedName name="어프" localSheetId="7">'[17]#REF'!#REF!</definedName>
    <definedName name="어프">'[17]#REF'!#REF!</definedName>
    <definedName name="언양">[13]언양!$I$10:$K$86</definedName>
    <definedName name="여신" localSheetId="7">#REF!</definedName>
    <definedName name="여신">#REF!</definedName>
    <definedName name="여재" localSheetId="7">#REF!</definedName>
    <definedName name="여재">#REF!</definedName>
    <definedName name="연구개발" localSheetId="7">#REF!</definedName>
    <definedName name="연구개발">#REF!</definedName>
    <definedName name="연봉" localSheetId="7">[19]본사인상전!#REF!</definedName>
    <definedName name="연봉">[19]본사인상전!#REF!</definedName>
    <definedName name="용연">[7]용연!$I$10:$K$48</definedName>
    <definedName name="용연1" localSheetId="7">#REF!</definedName>
    <definedName name="용연1">#REF!</definedName>
    <definedName name="울산">[10]울산!$I$10:$K$125</definedName>
    <definedName name="울산관리팀" localSheetId="7">#REF!</definedName>
    <definedName name="울산관리팀">#REF!</definedName>
    <definedName name="원가" localSheetId="7">#REF!</definedName>
    <definedName name="원가">#REF!</definedName>
    <definedName name="원가절감" localSheetId="7">#REF!</definedName>
    <definedName name="원가절감">#REF!</definedName>
    <definedName name="원가절감2" localSheetId="7">#REF!</definedName>
    <definedName name="원가절감2">#REF!</definedName>
    <definedName name="원가회계" localSheetId="7">#REF!</definedName>
    <definedName name="원가회계">#REF!</definedName>
    <definedName name="원사원가" localSheetId="7">#REF!</definedName>
    <definedName name="원사원가">#REF!</definedName>
    <definedName name="이경식" localSheetId="7">#REF!</definedName>
    <definedName name="이경식">#REF!</definedName>
    <definedName name="이문화" localSheetId="7">#REF!</definedName>
    <definedName name="이문화">#REF!</definedName>
    <definedName name="임시" localSheetId="7">'[30]04고객별 담당자'!#REF!</definedName>
    <definedName name="임시">'[30]04고객별 담당자'!#REF!</definedName>
    <definedName name="자녀" localSheetId="7">[2]고합!#REF!</definedName>
    <definedName name="자녀">[2]고합!#REF!</definedName>
    <definedName name="전략수립과정" localSheetId="7">#REF!</definedName>
    <definedName name="전략수립과정">#REF!</definedName>
    <definedName name="전략수립전문가" localSheetId="7">#REF!</definedName>
    <definedName name="전략수립전문가">#REF!</definedName>
    <definedName name="전략의사결정" localSheetId="7">#REF!</definedName>
    <definedName name="전략의사결정">#REF!</definedName>
    <definedName name="정기" localSheetId="7">[2]고합!#REF!</definedName>
    <definedName name="정기">[2]고합!#REF!</definedName>
    <definedName name="조직개발" localSheetId="7">#REF!</definedName>
    <definedName name="조직개발">#REF!</definedName>
    <definedName name="중연">[8]중연!$I$10:$K$48</definedName>
    <definedName name="증" localSheetId="7">[5]Sheet1!#REF!</definedName>
    <definedName name="증">[5]Sheet1!#REF!</definedName>
    <definedName name="지역" localSheetId="7">[2]고합!#REF!</definedName>
    <definedName name="지역">[2]고합!#REF!</definedName>
    <definedName name="직훈계획" localSheetId="7">[31]교수설계!#REF!</definedName>
    <definedName name="직훈계획">[31]교수설계!#REF!</definedName>
    <definedName name="진천">[6]진천!$I$10:$K$42</definedName>
    <definedName name="창의력개발" localSheetId="7">#REF!</definedName>
    <definedName name="창의력개발">#REF!</definedName>
    <definedName name="채권관리" localSheetId="7">#REF!</definedName>
    <definedName name="채권관리">#REF!</definedName>
    <definedName name="채권관리응용" localSheetId="7">#REF!</definedName>
    <definedName name="채권관리응용">#REF!</definedName>
    <definedName name="총원">'[32]220 (2)'!$A$7:$M$226</definedName>
    <definedName name="추정손익" localSheetId="7">#REF!</definedName>
    <definedName name="추정손익">#REF!</definedName>
    <definedName name="커뮤니케이션" localSheetId="7">#REF!</definedName>
    <definedName name="커뮤니케이션">#REF!</definedName>
    <definedName name="컴퓨터기획" localSheetId="7">#REF!</definedName>
    <definedName name="컴퓨터기획">#REF!</definedName>
    <definedName name="클레임" localSheetId="7">#REF!</definedName>
    <definedName name="클레임">#REF!</definedName>
    <definedName name="투자실적">[14]대구!$I$10:$K$45</definedName>
    <definedName name="트랜스월드" localSheetId="7">#REF!</definedName>
    <definedName name="트랜스월드">#REF!</definedName>
    <definedName name="특허기본" localSheetId="7">#REF!</definedName>
    <definedName name="특허기본">#REF!</definedName>
    <definedName name="팀비젼창출" localSheetId="7">#REF!</definedName>
    <definedName name="팀비젼창출">#REF!</definedName>
    <definedName name="표지" localSheetId="7">#REF!</definedName>
    <definedName name="표지">#REF!</definedName>
    <definedName name="품질관리일반" localSheetId="7">#REF!</definedName>
    <definedName name="품질관리일반">#REF!</definedName>
    <definedName name="프리젠테이션" localSheetId="7">#REF!</definedName>
    <definedName name="프리젠테이션">#REF!</definedName>
    <definedName name="ㅎㅎ" localSheetId="7">[5]Sheet1!#REF!</definedName>
    <definedName name="ㅎㅎ">[5]Sheet1!#REF!</definedName>
    <definedName name="합계" localSheetId="7">#REF!</definedName>
    <definedName name="합계">#REF!</definedName>
    <definedName name="협상능력" localSheetId="7">#REF!</definedName>
    <definedName name="협상능력">#REF!</definedName>
    <definedName name="휴가" localSheetId="7">[2]고합!#REF!</definedName>
    <definedName name="휴가">[2]고합!#REF!</definedName>
    <definedName name="ㅕ" localSheetId="7">[2]일급제인원실적!#REF!</definedName>
    <definedName name="ㅕ">[2]일급제인원실적!#REF!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V2" i="10" l="1"/>
  <c r="O2" i="10"/>
  <c r="Q6" i="9"/>
  <c r="V3" i="9"/>
  <c r="O3" i="9"/>
</calcChain>
</file>

<file path=xl/sharedStrings.xml><?xml version="1.0" encoding="utf-8"?>
<sst xmlns="http://schemas.openxmlformats.org/spreadsheetml/2006/main" count="380" uniqueCount="230">
  <si>
    <t>표준번호</t>
    <phoneticPr fontId="2" type="noConversion"/>
  </si>
  <si>
    <t>개정차수</t>
    <phoneticPr fontId="2" type="noConversion"/>
  </si>
  <si>
    <t xml:space="preserve"> </t>
    <phoneticPr fontId="2" type="noConversion"/>
  </si>
  <si>
    <t>프로세스책임자</t>
    <phoneticPr fontId="2" type="noConversion"/>
  </si>
  <si>
    <t>단계</t>
    <phoneticPr fontId="2" type="noConversion"/>
  </si>
  <si>
    <t>업무흐름도 (Process Flow)</t>
    <phoneticPr fontId="2" type="noConversion"/>
  </si>
  <si>
    <t>프로세스</t>
    <phoneticPr fontId="2" type="noConversion"/>
  </si>
  <si>
    <t>업무모니터링/측정</t>
    <phoneticPr fontId="2" type="noConversion"/>
  </si>
  <si>
    <t>입력</t>
    <phoneticPr fontId="2" type="noConversion"/>
  </si>
  <si>
    <t>출력</t>
    <phoneticPr fontId="2" type="noConversion"/>
  </si>
  <si>
    <t xml:space="preserve"> 1. 용어정의</t>
    <phoneticPr fontId="2" type="noConversion"/>
  </si>
  <si>
    <t xml:space="preserve"> 2. 책임과 권한</t>
    <phoneticPr fontId="2" type="noConversion"/>
  </si>
  <si>
    <t>관리항목</t>
    <phoneticPr fontId="2" type="noConversion"/>
  </si>
  <si>
    <t xml:space="preserve"> 3. 핵심업무</t>
    <phoneticPr fontId="2" type="noConversion"/>
  </si>
  <si>
    <t>주관부서</t>
    <phoneticPr fontId="2" type="noConversion"/>
  </si>
  <si>
    <t xml:space="preserve"> 4. 기록 관리</t>
    <phoneticPr fontId="2" type="noConversion"/>
  </si>
  <si>
    <t>번호</t>
    <phoneticPr fontId="2" type="noConversion"/>
  </si>
  <si>
    <t>기록</t>
    <phoneticPr fontId="2" type="noConversion"/>
  </si>
  <si>
    <t>보존기간</t>
    <phoneticPr fontId="2" type="noConversion"/>
  </si>
  <si>
    <t>보관부서</t>
    <phoneticPr fontId="2" type="noConversion"/>
  </si>
  <si>
    <t>담당자</t>
    <phoneticPr fontId="2" type="noConversion"/>
  </si>
  <si>
    <t xml:space="preserve"> 기타 요구사항</t>
    <phoneticPr fontId="2" type="noConversion"/>
  </si>
  <si>
    <t xml:space="preserve"> 인터넷</t>
    <phoneticPr fontId="2" type="noConversion"/>
  </si>
  <si>
    <t xml:space="preserve"> 서적/관공서</t>
    <phoneticPr fontId="2" type="noConversion"/>
  </si>
  <si>
    <t>o 입수된 사항이 당사에 적용되는지 여부 검토</t>
    <phoneticPr fontId="2" type="noConversion"/>
  </si>
  <si>
    <t xml:space="preserve"> 보고서</t>
    <phoneticPr fontId="2" type="noConversion"/>
  </si>
  <si>
    <t xml:space="preserve"> 수시</t>
    <phoneticPr fontId="2" type="noConversion"/>
  </si>
  <si>
    <t xml:space="preserve"> 적용시</t>
    <phoneticPr fontId="2" type="noConversion"/>
  </si>
  <si>
    <t xml:space="preserve"> 작성시</t>
    <phoneticPr fontId="2" type="noConversion"/>
  </si>
  <si>
    <t xml:space="preserve"> 등록부</t>
    <phoneticPr fontId="2" type="noConversion"/>
  </si>
  <si>
    <t xml:space="preserve">   에게 교육을 실시/공지하여 한다.</t>
    <phoneticPr fontId="2" type="noConversion"/>
  </si>
  <si>
    <t xml:space="preserve"> 교육결과</t>
    <phoneticPr fontId="2" type="noConversion"/>
  </si>
  <si>
    <t xml:space="preserve"> 교육시</t>
    <phoneticPr fontId="2" type="noConversion"/>
  </si>
  <si>
    <t xml:space="preserve">        당사의 제품, 활동, 서비스에 직접적으로 관련되어 반드시 지켜야 하는 환경</t>
    <phoneticPr fontId="2" type="noConversion"/>
  </si>
  <si>
    <t xml:space="preserve">        또는 안전과 관련된 법규로서 수질환경보전법, 대기환경보전법, 유해화학물질</t>
    <phoneticPr fontId="2" type="noConversion"/>
  </si>
  <si>
    <t xml:space="preserve">        관리법, 폐기물 관리법, 해양오염방지법, 산업안전보건법, 소방법, 고압가스</t>
    <phoneticPr fontId="2" type="noConversion"/>
  </si>
  <si>
    <t xml:space="preserve">        안전관리법 등을 말한다.</t>
    <phoneticPr fontId="2" type="noConversion"/>
  </si>
  <si>
    <t xml:space="preserve">        국제적으로 환경영향의 오염정도에 따라 환경보전을 목적으로 체결하는 국가</t>
    <phoneticPr fontId="2" type="noConversion"/>
  </si>
  <si>
    <t xml:space="preserve">        간의 약속 ( ex 몬트리올 의정서, 기후변화협약, 바젤 협약 )</t>
    <phoneticPr fontId="2" type="noConversion"/>
  </si>
  <si>
    <t xml:space="preserve">        지방 자치단체에서 제정하고 적용되는 환경 법규</t>
    <phoneticPr fontId="2" type="noConversion"/>
  </si>
  <si>
    <t xml:space="preserve">        법규를 제외한 당사와 관련된 환경 또는 안전의 일반 관행, 규약등을 말한다.</t>
    <phoneticPr fontId="2" type="noConversion"/>
  </si>
  <si>
    <t xml:space="preserve">        당사의 환경 또는 안전과 관련된 법규 및 기타 요구사항중 당사와 직접 관련된</t>
    <phoneticPr fontId="2" type="noConversion"/>
  </si>
  <si>
    <t xml:space="preserve">      1) 환경안전법규 등록에 대한 승인</t>
    <phoneticPr fontId="2" type="noConversion"/>
  </si>
  <si>
    <t xml:space="preserve">      1) 환경 및 안전과 관련된 법규의 최신본 입수 및 등록 유지</t>
    <phoneticPr fontId="2" type="noConversion"/>
  </si>
  <si>
    <t xml:space="preserve">      2) 환경 및 안전 법규의 당사 적용여부 결정 및 관련부서 통보</t>
    <phoneticPr fontId="2" type="noConversion"/>
  </si>
  <si>
    <t xml:space="preserve">      3) 법규등록부 내용을 해당절차 및 운영관리등에 반영</t>
    <phoneticPr fontId="2" type="noConversion"/>
  </si>
  <si>
    <t xml:space="preserve">      1) 업무에 적용되는 환경 및 안전관련 법규의 식별 및 최신본 유지</t>
    <phoneticPr fontId="2" type="noConversion"/>
  </si>
  <si>
    <t xml:space="preserve">      2) 최신 환경 및 안전법규에서 요구되는 관련법 준수</t>
    <phoneticPr fontId="2" type="noConversion"/>
  </si>
  <si>
    <t xml:space="preserve">      3) 환경안전 법규 등록부 관리와 내용을 준수하며 배포된 법규 및 등록부에 대한</t>
    <phoneticPr fontId="2" type="noConversion"/>
  </si>
  <si>
    <t>입수 경로</t>
    <phoneticPr fontId="2" type="noConversion"/>
  </si>
  <si>
    <t>o 환경안전관련 조직 - 기술인회, 협의회 등</t>
    <phoneticPr fontId="2" type="noConversion"/>
  </si>
  <si>
    <t>o 인터넷 검색 (www.moleg.go.kr-법제처)</t>
    <phoneticPr fontId="2" type="noConversion"/>
  </si>
  <si>
    <t>페이지</t>
    <phoneticPr fontId="2" type="noConversion"/>
  </si>
  <si>
    <t>상위프로세스</t>
    <phoneticPr fontId="2" type="noConversion"/>
  </si>
  <si>
    <t>개정일차</t>
    <phoneticPr fontId="2" type="noConversion"/>
  </si>
  <si>
    <t>-</t>
    <phoneticPr fontId="2" type="noConversion"/>
  </si>
  <si>
    <t>0 차</t>
    <phoneticPr fontId="2" type="noConversion"/>
  </si>
  <si>
    <t>1/1</t>
    <phoneticPr fontId="2" type="noConversion"/>
  </si>
  <si>
    <t>법규
파악</t>
    <phoneticPr fontId="2" type="noConversion"/>
  </si>
  <si>
    <t>법규
입수 및
적용</t>
    <phoneticPr fontId="2" type="noConversion"/>
  </si>
  <si>
    <t>법규
등록 및
관리</t>
    <phoneticPr fontId="2" type="noConversion"/>
  </si>
  <si>
    <t>o 환경부/노동부/각 도, 시청</t>
    <phoneticPr fontId="2" type="noConversion"/>
  </si>
  <si>
    <t>A4(297×210㎜)</t>
    <phoneticPr fontId="2" type="noConversion"/>
  </si>
  <si>
    <t>교육</t>
    <phoneticPr fontId="2" type="noConversion"/>
  </si>
  <si>
    <t xml:space="preserve">        배포한다.</t>
    <phoneticPr fontId="2" type="noConversion"/>
  </si>
  <si>
    <t xml:space="preserve">        중요 사항을 등록한 것으로 교육 및 준수를 목적으로 하며 필요시 개정하여</t>
    <phoneticPr fontId="2" type="noConversion"/>
  </si>
  <si>
    <t>환경관리 프로세스</t>
    <phoneticPr fontId="2" type="noConversion"/>
  </si>
  <si>
    <t>환경관리 프로세스</t>
    <phoneticPr fontId="2" type="noConversion"/>
  </si>
  <si>
    <t>[ 유첨 1 ]</t>
    <phoneticPr fontId="2" type="noConversion"/>
  </si>
  <si>
    <t>결
재</t>
    <phoneticPr fontId="2" type="noConversion"/>
  </si>
  <si>
    <t>작성일자</t>
    <phoneticPr fontId="2" type="noConversion"/>
  </si>
  <si>
    <t>작성부서</t>
    <phoneticPr fontId="2" type="noConversion"/>
  </si>
  <si>
    <t>개정 일자</t>
    <phoneticPr fontId="2" type="noConversion"/>
  </si>
  <si>
    <t>분야</t>
    <phoneticPr fontId="2" type="noConversion"/>
  </si>
  <si>
    <t>관련 부서</t>
    <phoneticPr fontId="2" type="noConversion"/>
  </si>
  <si>
    <t>등록일자</t>
    <phoneticPr fontId="2" type="noConversion"/>
  </si>
  <si>
    <t>개정여부</t>
    <phoneticPr fontId="2" type="noConversion"/>
  </si>
  <si>
    <t xml:space="preserve">  1.1. 환경 또는 안전법규</t>
    <phoneticPr fontId="2" type="noConversion"/>
  </si>
  <si>
    <t xml:space="preserve">  1.2. 환경협약</t>
    <phoneticPr fontId="2" type="noConversion"/>
  </si>
  <si>
    <t xml:space="preserve">  1.3. 환경 조례</t>
    <phoneticPr fontId="2" type="noConversion"/>
  </si>
  <si>
    <t xml:space="preserve">  1.4. 기타 요구사항</t>
    <phoneticPr fontId="2" type="noConversion"/>
  </si>
  <si>
    <t xml:space="preserve">  1.5. 환경안전법규 등록부</t>
    <phoneticPr fontId="2" type="noConversion"/>
  </si>
  <si>
    <t xml:space="preserve">        부서와 교육 실시</t>
    <phoneticPr fontId="2" type="noConversion"/>
  </si>
  <si>
    <t xml:space="preserve">      하여야 한다.</t>
    <phoneticPr fontId="2" type="noConversion"/>
  </si>
  <si>
    <t xml:space="preserve">     - 각 부서는 필요한 경우 업무수행에 요구되는 환경안전 법규를 파악하고</t>
    <phoneticPr fontId="2" type="noConversion"/>
  </si>
  <si>
    <t xml:space="preserve">       입수를 요청한다.</t>
    <phoneticPr fontId="2" type="noConversion"/>
  </si>
  <si>
    <t xml:space="preserve"> 5. 첨부</t>
    <phoneticPr fontId="2" type="noConversion"/>
  </si>
  <si>
    <t>[ 유첨 2 ]</t>
    <phoneticPr fontId="2" type="noConversion"/>
  </si>
  <si>
    <t xml:space="preserve"> ○ 환경 법규
 ○ 안전소방보건 법규
 ○ 기타 요구사항</t>
    <phoneticPr fontId="2" type="noConversion"/>
  </si>
  <si>
    <t>작성 일자</t>
    <phoneticPr fontId="2" type="noConversion"/>
  </si>
  <si>
    <t>비 고</t>
    <phoneticPr fontId="2" type="noConversion"/>
  </si>
  <si>
    <t>표준 원안 처리서</t>
    <phoneticPr fontId="2" type="noConversion"/>
  </si>
  <si>
    <t>표준명</t>
    <phoneticPr fontId="2" type="noConversion"/>
  </si>
  <si>
    <t>표준번호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</si>
  <si>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</si>
  <si>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</si>
  <si>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</si>
  <si>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작성부서</t>
    <phoneticPr fontId="2" type="noConversion"/>
  </si>
  <si>
    <t>작성자</t>
    <phoneticPr fontId="2" type="noConversion"/>
  </si>
  <si>
    <t>결</t>
    <phoneticPr fontId="2" type="noConversion"/>
  </si>
  <si>
    <t>적용범위</t>
    <phoneticPr fontId="2" type="noConversion"/>
  </si>
  <si>
    <t>재</t>
    <phoneticPr fontId="2" type="noConversion"/>
  </si>
  <si>
    <t>개정 이력</t>
    <phoneticPr fontId="2" type="noConversion"/>
  </si>
  <si>
    <t>개정차수</t>
    <phoneticPr fontId="2" type="noConversion"/>
  </si>
  <si>
    <t>제,개정일</t>
    <phoneticPr fontId="2" type="noConversion"/>
  </si>
  <si>
    <t>변경 전</t>
    <phoneticPr fontId="2" type="noConversion"/>
  </si>
  <si>
    <t>변경 후</t>
    <phoneticPr fontId="2" type="noConversion"/>
  </si>
  <si>
    <t>형식
합의</t>
    <phoneticPr fontId="2" type="noConversion"/>
  </si>
  <si>
    <t>내용
합의</t>
    <phoneticPr fontId="2" type="noConversion"/>
  </si>
  <si>
    <t xml:space="preserve"> </t>
    <phoneticPr fontId="2" type="noConversion"/>
  </si>
  <si>
    <t>배포선</t>
    <phoneticPr fontId="2" type="noConversion"/>
  </si>
  <si>
    <t>A4(297×210㎜)</t>
    <phoneticPr fontId="2" type="noConversion"/>
  </si>
  <si>
    <t>준수의무관리 프로세스</t>
    <phoneticPr fontId="2" type="noConversion"/>
  </si>
  <si>
    <t>목표</t>
    <phoneticPr fontId="2" type="noConversion"/>
  </si>
  <si>
    <t>성과지표</t>
    <phoneticPr fontId="2" type="noConversion"/>
  </si>
  <si>
    <t>계산식</t>
    <phoneticPr fontId="2" type="noConversion"/>
  </si>
  <si>
    <t>업무절차</t>
    <phoneticPr fontId="2" type="noConversion"/>
  </si>
  <si>
    <t>제정일자</t>
    <phoneticPr fontId="2" type="noConversion"/>
  </si>
  <si>
    <t xml:space="preserve"> 당사와 관련된 환경과 관련하여 준수의무 요구사항의 관리업무 전반에 대하여 적용한다.</t>
    <phoneticPr fontId="2" type="noConversion"/>
  </si>
  <si>
    <t>실무자</t>
    <phoneticPr fontId="2" type="noConversion"/>
  </si>
  <si>
    <t>책임자</t>
    <phoneticPr fontId="2" type="noConversion"/>
  </si>
  <si>
    <t>주기</t>
    <phoneticPr fontId="2" type="noConversion"/>
  </si>
  <si>
    <t>환경 관련 준수의무 요구사항을 효과적으로 파악 등록하여 적법하게 관리</t>
    <phoneticPr fontId="2" type="noConversion"/>
  </si>
  <si>
    <t>전부서</t>
    <phoneticPr fontId="2" type="noConversion"/>
  </si>
  <si>
    <t>반기 1회</t>
    <phoneticPr fontId="2" type="noConversion"/>
  </si>
  <si>
    <t>환경측면</t>
    <phoneticPr fontId="2" type="noConversion"/>
  </si>
  <si>
    <t>이해관계자요구</t>
    <phoneticPr fontId="2" type="noConversion"/>
  </si>
  <si>
    <t>준수의무사항</t>
    <phoneticPr fontId="2" type="noConversion"/>
  </si>
  <si>
    <t>법규요구사항</t>
    <phoneticPr fontId="2" type="noConversion"/>
  </si>
  <si>
    <t>o 당사의 모든 환경측면, 이해관계자요구사항,</t>
    <phoneticPr fontId="2" type="noConversion"/>
  </si>
  <si>
    <t xml:space="preserve">   준수의무사항 및 필요 법규, 요구사항파악</t>
    <phoneticPr fontId="2" type="noConversion"/>
  </si>
  <si>
    <t xml:space="preserve">   작성하여 경영자 승인 및 관련부서 배포</t>
  </si>
  <si>
    <t xml:space="preserve"> 환경영향</t>
    <phoneticPr fontId="2" type="noConversion"/>
  </si>
  <si>
    <t>개정 준수의무사항</t>
    <phoneticPr fontId="2" type="noConversion"/>
  </si>
  <si>
    <t xml:space="preserve"> 변경보고서</t>
    <phoneticPr fontId="2" type="noConversion"/>
  </si>
  <si>
    <t>변경검토 적합성</t>
    <phoneticPr fontId="2" type="noConversion"/>
  </si>
  <si>
    <t>준수의무 적합성</t>
    <phoneticPr fontId="2" type="noConversion"/>
  </si>
  <si>
    <t>목록</t>
    <phoneticPr fontId="2" type="noConversion"/>
  </si>
  <si>
    <t>교육평가적합성</t>
    <phoneticPr fontId="2" type="noConversion"/>
  </si>
  <si>
    <t>자원
(관련표준,서식)</t>
    <phoneticPr fontId="2" type="noConversion"/>
  </si>
  <si>
    <t>준수의무사항 관리율</t>
    <phoneticPr fontId="2" type="noConversion"/>
  </si>
  <si>
    <t>관리대상 준수의무수 / 파악된 준수의무수
 x 100 %</t>
    <phoneticPr fontId="2" type="noConversion"/>
  </si>
  <si>
    <t>준수의무파악 실시율</t>
    <phoneticPr fontId="2" type="noConversion"/>
  </si>
  <si>
    <t xml:space="preserve">  2.3. 각 팀장</t>
    <phoneticPr fontId="2" type="noConversion"/>
  </si>
  <si>
    <t>o 이해관계자 요구사항</t>
    <phoneticPr fontId="2" type="noConversion"/>
  </si>
  <si>
    <t xml:space="preserve"> 준수의무사항 등록 리스트</t>
    <phoneticPr fontId="2" type="noConversion"/>
  </si>
  <si>
    <t xml:space="preserve"> 준수의무사항 등록부</t>
    <phoneticPr fontId="2" type="noConversion"/>
  </si>
  <si>
    <t>10년</t>
    <phoneticPr fontId="2" type="noConversion"/>
  </si>
  <si>
    <t xml:space="preserve">  3-2. 준수의무사항 및 법규 입수 경로</t>
    <phoneticPr fontId="2" type="noConversion"/>
  </si>
  <si>
    <t xml:space="preserve">    1) 준수의무사항 등록 리스트</t>
    <phoneticPr fontId="2" type="noConversion"/>
  </si>
  <si>
    <t xml:space="preserve">    2) 준수의무사항 등록부</t>
    <phoneticPr fontId="2" type="noConversion"/>
  </si>
  <si>
    <t>준수의무사항</t>
    <phoneticPr fontId="2" type="noConversion"/>
  </si>
  <si>
    <t>준수의무사항 등록 리스트</t>
    <phoneticPr fontId="2" type="noConversion"/>
  </si>
  <si>
    <t xml:space="preserve"> [ 비 고 ]
 1. "◎"은 당사 주요 준수의무사항에 해당됨.
 2. 작성일 기준 법규 최신본은 인터넷 사이트 법제처 (www.moleg.go.kr) 사이트로 관리</t>
    <phoneticPr fontId="2" type="noConversion"/>
  </si>
  <si>
    <t>준수의무사항 등록부</t>
    <phoneticPr fontId="2" type="noConversion"/>
  </si>
  <si>
    <t>준수의무사항명</t>
    <phoneticPr fontId="2" type="noConversion"/>
  </si>
  <si>
    <t>관련 법규</t>
    <phoneticPr fontId="2" type="noConversion"/>
  </si>
  <si>
    <t>당 사업장 직접 관련 사항</t>
    <phoneticPr fontId="2" type="noConversion"/>
  </si>
  <si>
    <t xml:space="preserve"> 출  처</t>
    <phoneticPr fontId="2" type="noConversion"/>
  </si>
  <si>
    <t>파악(개정)일</t>
    <phoneticPr fontId="2" type="noConversion"/>
  </si>
  <si>
    <t>출  처</t>
    <phoneticPr fontId="2" type="noConversion"/>
  </si>
  <si>
    <t>o 당사에 적용될 경우 준수의무사항 등록 List</t>
    <phoneticPr fontId="2" type="noConversion"/>
  </si>
  <si>
    <t>o 등록된  중요한 관련 조항등에 대하여</t>
    <phoneticPr fontId="2" type="noConversion"/>
  </si>
  <si>
    <t xml:space="preserve">   당사와 관련된 중요 부분을 요약하여 </t>
    <phoneticPr fontId="2" type="noConversion"/>
  </si>
  <si>
    <t xml:space="preserve">   준수의무사항 등록부를 작성, 배포한다.</t>
    <phoneticPr fontId="2" type="noConversion"/>
  </si>
  <si>
    <t>o 준수의무사항 및 준수의무 변경사항 입수</t>
  </si>
  <si>
    <t xml:space="preserve"> 준수의무사항</t>
  </si>
  <si>
    <t>o 배포된 준수의무사항 등록부를 전부서원</t>
  </si>
  <si>
    <t>준수의무사항목록</t>
  </si>
  <si>
    <t>준수의무사항 목록 적합성</t>
    <phoneticPr fontId="2" type="noConversion"/>
  </si>
  <si>
    <t>준수의무사항 등록 적합성</t>
    <phoneticPr fontId="2" type="noConversion"/>
  </si>
  <si>
    <t>작성일자</t>
    <phoneticPr fontId="2" type="noConversion"/>
  </si>
  <si>
    <t>첨부 5.1</t>
    <phoneticPr fontId="2" type="noConversion"/>
  </si>
  <si>
    <t>첨부 5.2</t>
    <phoneticPr fontId="2" type="noConversion"/>
  </si>
  <si>
    <t>2023.03.16</t>
    <phoneticPr fontId="2" type="noConversion"/>
  </si>
  <si>
    <t>김기태</t>
    <phoneticPr fontId="2" type="noConversion"/>
  </si>
  <si>
    <t>폐기물 관리법</t>
    <phoneticPr fontId="2" type="noConversion"/>
  </si>
  <si>
    <t>폐기물관리법</t>
    <phoneticPr fontId="2" type="noConversion"/>
  </si>
  <si>
    <t>폐기물</t>
    <phoneticPr fontId="2" type="noConversion"/>
  </si>
  <si>
    <t>폐기물관리법에 따른 일반폐기물 관리</t>
    <phoneticPr fontId="2" type="noConversion"/>
  </si>
  <si>
    <t>2023. 6. 16</t>
    <phoneticPr fontId="2" type="noConversion"/>
  </si>
  <si>
    <t>시행 2023. 4. 27.]        [법률 제18853호, 2022. 4. 26., 타법개정]</t>
    <phoneticPr fontId="2" type="noConversion"/>
  </si>
  <si>
    <t>2023. 6.16</t>
    <phoneticPr fontId="2" type="noConversion"/>
  </si>
  <si>
    <t xml:space="preserve"> 잉크캔, 기름걸레, 폐합성수지, 산업쓰례기 처리 </t>
    <phoneticPr fontId="2" type="noConversion"/>
  </si>
  <si>
    <t>산업안전      보건</t>
    <phoneticPr fontId="2" type="noConversion"/>
  </si>
  <si>
    <t>산업안전보건법</t>
    <phoneticPr fontId="2" type="noConversion"/>
  </si>
  <si>
    <t>[시행 2022. 8. 18.] [법률 제18426호, 2021. 8. 17., 일부개정]</t>
  </si>
  <si>
    <t xml:space="preserve"> MSDS 자료지침 의무, 보호구 지급 및 착용, 안전교육, 건강검진</t>
    <phoneticPr fontId="2" type="noConversion"/>
  </si>
  <si>
    <t>소방법</t>
    <phoneticPr fontId="2" type="noConversion"/>
  </si>
  <si>
    <t xml:space="preserve">소방기본법에 따른 준수 의무 </t>
    <phoneticPr fontId="2" type="noConversion"/>
  </si>
  <si>
    <t>소방기본법</t>
    <phoneticPr fontId="2" type="noConversion"/>
  </si>
  <si>
    <t>[시행 2024. 4. 12.] [법률 제19330호, 2023. 4. 11., 일부개정]</t>
    <phoneticPr fontId="2" type="noConversion"/>
  </si>
  <si>
    <t xml:space="preserve"> 소화기 설치 및 식별 표시, 소화기 점검</t>
    <phoneticPr fontId="2" type="noConversion"/>
  </si>
  <si>
    <t>화학물질관리법</t>
    <phoneticPr fontId="2" type="noConversion"/>
  </si>
  <si>
    <t>[시행 2022. 2. 18.] [법률 제18420호, 2021. 8. 17., 일부개정]</t>
    <phoneticPr fontId="2" type="noConversion"/>
  </si>
  <si>
    <t>산업안전보건법에 따른 준수 의무</t>
    <phoneticPr fontId="2" type="noConversion"/>
  </si>
  <si>
    <t>화학물질관리법에 따른 준수 의무</t>
    <phoneticPr fontId="2" type="noConversion"/>
  </si>
  <si>
    <t xml:space="preserve"> 화학물질 사용량 관리 (인벤토리 관리) </t>
    <phoneticPr fontId="2" type="noConversion"/>
  </si>
  <si>
    <t>환경안전법규 등록</t>
    <phoneticPr fontId="2" type="noConversion"/>
  </si>
  <si>
    <t>품질관리</t>
    <phoneticPr fontId="2" type="noConversion"/>
  </si>
  <si>
    <t>품질관리부</t>
    <phoneticPr fontId="2" type="noConversion"/>
  </si>
  <si>
    <t>경엉지원부</t>
    <phoneticPr fontId="2" type="noConversion"/>
  </si>
  <si>
    <t>경영지원부</t>
    <phoneticPr fontId="2" type="noConversion"/>
  </si>
  <si>
    <t xml:space="preserve">  3-1. 경영지원부서장은 수시로 환경안전관련 법규를 확인하고 당사 적용 여부를 검토</t>
    <phoneticPr fontId="2" type="noConversion"/>
  </si>
  <si>
    <t xml:space="preserve">  2.1. 대표이사</t>
    <phoneticPr fontId="2" type="noConversion"/>
  </si>
  <si>
    <t xml:space="preserve">  2.2. 경영지원부서장</t>
    <phoneticPr fontId="2" type="noConversion"/>
  </si>
  <si>
    <t>폐기물관리법                 - 시행 2023. 4. 27.]        [법률 제18853호, 2022. 4. 26., 타법개정]</t>
    <phoneticPr fontId="2" type="noConversion"/>
  </si>
  <si>
    <t>산업안전보건법             - [시행 2022. 8. 18.]               [법률 제18426호, 2021. 8. 17., 일부개정]</t>
    <phoneticPr fontId="2" type="noConversion"/>
  </si>
  <si>
    <t>소방기본법                            -  [시행 2024. 4. 12.] [법률 제19330호, 2023. 4. 11., 일부개정]</t>
    <phoneticPr fontId="2" type="noConversion"/>
  </si>
  <si>
    <t>화학물질법                    - [시행 2022. 2. 18.] [법률 제18420호, 2021. 8. 17., 일부개정]</t>
    <phoneticPr fontId="2" type="noConversion"/>
  </si>
  <si>
    <t>삼화당피앤티</t>
    <phoneticPr fontId="2" type="noConversion"/>
  </si>
  <si>
    <t xml:space="preserve"> 2023. 5. 18</t>
    <phoneticPr fontId="2" type="noConversion"/>
  </si>
  <si>
    <t>0 환경경영시스템 신규구축에 따른 제정</t>
    <phoneticPr fontId="2" type="noConversion"/>
  </si>
  <si>
    <t>대기환경보전법 시행규칙 개정(2022년6월)으로 가스열펌프(GHP) 대기배출시설 포함 됨</t>
    <phoneticPr fontId="2" type="noConversion"/>
  </si>
  <si>
    <t xml:space="preserve">  ---&gt;  매연저감장치 설치 완료(허가 신고 예외 대상)</t>
    <phoneticPr fontId="2" type="noConversion"/>
  </si>
  <si>
    <t>대기환경보전법 제23조에 따른 준수의무</t>
    <phoneticPr fontId="2" type="noConversion"/>
  </si>
  <si>
    <t xml:space="preserve"> 2024.  11. 05</t>
    <phoneticPr fontId="2" type="noConversion"/>
  </si>
  <si>
    <t>2024.11.01</t>
    <phoneticPr fontId="2" type="noConversion"/>
  </si>
  <si>
    <t xml:space="preserve"> 2024. 11. 01</t>
    <phoneticPr fontId="2" type="noConversion"/>
  </si>
  <si>
    <t>2024. 11. 05</t>
    <phoneticPr fontId="2" type="noConversion"/>
  </si>
  <si>
    <t>대기환경보전법</t>
    <phoneticPr fontId="2" type="noConversion"/>
  </si>
  <si>
    <t>[시행 2024. 7. 24.] [법률 제20114호, 2024. 1. 23., 일부개정]</t>
    <phoneticPr fontId="2" type="noConversion"/>
  </si>
  <si>
    <t xml:space="preserve"> 대기환경보전법                     [시행 2024. 7. 24.]        [법률 제20114호, 2024. 1. 23., 일부개정]</t>
    <phoneticPr fontId="2" type="noConversion"/>
  </si>
  <si>
    <t>대기환경보전법</t>
    <phoneticPr fontId="2" type="noConversion"/>
  </si>
  <si>
    <t>경영지원부</t>
    <phoneticPr fontId="2" type="noConversion"/>
  </si>
  <si>
    <t>2024. 11. 01</t>
    <phoneticPr fontId="2" type="noConversion"/>
  </si>
  <si>
    <t xml:space="preserve"> 2024. 11. 05</t>
    <phoneticPr fontId="2" type="noConversion"/>
  </si>
  <si>
    <t xml:space="preserve"> 가스열펌프(GHP)가 대기배출시설에 포함됨예 따라                              매연저감장치 설치 및 검사 완료함  (2024. 10, 11)</t>
    <phoneticPr fontId="2" type="noConversion"/>
  </si>
  <si>
    <t xml:space="preserve">대기환경            보전법 </t>
    <phoneticPr fontId="2" type="noConversion"/>
  </si>
  <si>
    <t>SHS-P0604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</si>
</sst>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;[Red]&quot;₩&quot;&quot;₩&quot;&quot;₩&quot;\-#,##0"/>
    <numFmt numFmtId="182" formatCode="&quot;₩&quot;#,##0.00;&quot;₩&quot;&quot;₩&quot;&quot;₩&quot;\-#,##0.00"/>
    <numFmt numFmtId="183" formatCode="&quot;₩&quot;#,##0;&quot;₩&quot;&quot;₩&quot;&quot;₩&quot;&quot;₩&quot;\-#,##0"/>
    <numFmt numFmtId="184" formatCode="&quot;₩&quot;#,##0;[Red]&quot;₩&quot;&quot;₩&quot;&quot;₩&quot;&quot;₩&quot;\-#,##0"/>
    <numFmt numFmtId="185" formatCode="&quot;₩&quot;#,##0.00;&quot;₩&quot;&quot;₩&quot;&quot;₩&quot;&quot;₩&quot;\-#,##0.00"/>
    <numFmt numFmtId="186" formatCode="_ &quot;₩&quot;* #,##0.00_ ;_ &quot;₩&quot;* &quot;₩&quot;&quot;₩&quot;&quot;₩&quot;&quot;₩&quot;&quot;₩&quot;&quot;₩&quot;&quot;₩&quot;&quot;₩&quot;&quot;₩&quot;&quot;₩&quot;&quot;₩&quot;\-#,##0.00_ ;_ &quot;₩&quot;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0.00_)"/>
  </numFmts>
  <fonts count="2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2"/>
      <name val="뼻뮝"/>
      <family val="3"/>
      <charset val="129"/>
    </font>
    <font>
      <sz val="10"/>
      <name val="명조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2"/>
      <name val="¹UAAA¼"/>
      <family val="3"/>
      <charset val="129"/>
    </font>
    <font>
      <sz val="11"/>
      <name val="μ¸¿o"/>
      <family val="3"/>
      <charset val="129"/>
    </font>
    <font>
      <sz val="8"/>
      <name val="Arial"/>
      <family val="2"/>
    </font>
    <font>
      <b/>
      <i/>
      <sz val="16"/>
      <name val="Helv"/>
      <family val="2"/>
    </font>
    <font>
      <sz val="11"/>
      <name val="휴먼모음T"/>
      <family val="1"/>
      <charset val="129"/>
    </font>
    <font>
      <sz val="10"/>
      <name val="휴먼모음T"/>
      <family val="1"/>
      <charset val="129"/>
    </font>
    <font>
      <sz val="11"/>
      <color indexed="10"/>
      <name val="휴먼모음T"/>
      <family val="1"/>
      <charset val="129"/>
    </font>
    <font>
      <u val="double"/>
      <sz val="20"/>
      <name val="휴먼모음T"/>
      <family val="1"/>
      <charset val="129"/>
    </font>
    <font>
      <sz val="18"/>
      <name val="휴먼모음T"/>
      <family val="1"/>
      <charset val="129"/>
    </font>
    <font>
      <sz val="20"/>
      <name val="휴먼모음T"/>
      <family val="1"/>
      <charset val="129"/>
    </font>
    <font>
      <sz val="13"/>
      <name val="휴먼모음T"/>
      <family val="1"/>
      <charset val="129"/>
    </font>
    <font>
      <sz val="22"/>
      <name val="휴먼모음T"/>
      <family val="1"/>
      <charset val="129"/>
    </font>
    <font>
      <sz val="10"/>
      <color indexed="10"/>
      <name val="휴먼모음T"/>
      <family val="1"/>
      <charset val="129"/>
    </font>
    <font>
      <sz val="12"/>
      <name val="휴먼모음T"/>
      <family val="1"/>
      <charset val="129"/>
    </font>
    <font>
      <sz val="9"/>
      <name val="휴먼모음T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1">
    <xf numFmtId="0" fontId="0" fillId="0" borderId="0"/>
    <xf numFmtId="8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9" fillId="0" borderId="0"/>
    <xf numFmtId="0" fontId="1" fillId="0" borderId="0" applyFill="0" applyBorder="0" applyAlignment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38" fontId="13" fillId="2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13" fillId="3" borderId="3" applyNumberFormat="0" applyBorder="0" applyAlignment="0" applyProtection="0"/>
    <xf numFmtId="189" fontId="14" fillId="0" borderId="0"/>
    <xf numFmtId="0" fontId="9" fillId="0" borderId="0"/>
    <xf numFmtId="10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3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 applyNumberFormat="0" applyFill="0" applyBorder="0" applyAlignment="0" applyProtection="0"/>
    <xf numFmtId="0" fontId="7" fillId="0" borderId="0"/>
    <xf numFmtId="186" fontId="1" fillId="0" borderId="0">
      <alignment vertical="center"/>
    </xf>
    <xf numFmtId="0" fontId="8" fillId="0" borderId="4"/>
    <xf numFmtId="4" fontId="5" fillId="0" borderId="0">
      <protection locked="0"/>
    </xf>
    <xf numFmtId="184" fontId="3" fillId="0" borderId="0">
      <protection locked="0"/>
    </xf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2" fontId="1" fillId="0" borderId="0">
      <protection locked="0"/>
    </xf>
    <xf numFmtId="0" fontId="1" fillId="0" borderId="0"/>
    <xf numFmtId="0" fontId="5" fillId="0" borderId="5">
      <protection locked="0"/>
    </xf>
    <xf numFmtId="181" fontId="1" fillId="0" borderId="0">
      <protection locked="0"/>
    </xf>
    <xf numFmtId="185" fontId="3" fillId="0" borderId="0">
      <protection locked="0"/>
    </xf>
  </cellStyleXfs>
  <cellXfs count="229">
    <xf numFmtId="0" fontId="0" fillId="0" borderId="0" xfId="0"/>
    <xf numFmtId="0" fontId="15" fillId="0" borderId="0" xfId="0" applyFont="1"/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Continuous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0" borderId="10" xfId="0" applyFont="1" applyBorder="1" applyAlignment="1">
      <alignment horizontal="left"/>
    </xf>
    <xf numFmtId="0" fontId="17" fillId="0" borderId="0" xfId="0" applyFont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5" fillId="0" borderId="9" xfId="0" applyFont="1" applyBorder="1" applyAlignment="1">
      <alignment horizontal="left"/>
    </xf>
    <xf numFmtId="0" fontId="17" fillId="0" borderId="10" xfId="0" quotePrefix="1" applyFont="1" applyBorder="1" applyAlignment="1">
      <alignment horizontal="left" vertical="center"/>
    </xf>
    <xf numFmtId="0" fontId="18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20" fillId="0" borderId="0" xfId="0" applyFont="1" applyAlignment="1">
      <alignment horizontal="centerContinuous" vertical="center"/>
    </xf>
    <xf numFmtId="0" fontId="15" fillId="0" borderId="3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6" fillId="0" borderId="0" xfId="0" applyFont="1"/>
    <xf numFmtId="0" fontId="21" fillId="0" borderId="7" xfId="0" applyFont="1" applyBorder="1" applyAlignment="1">
      <alignment horizontal="left" vertical="center"/>
    </xf>
    <xf numFmtId="0" fontId="15" fillId="0" borderId="0" xfId="37" applyFont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2" xfId="0" applyFont="1" applyBorder="1" applyAlignment="1">
      <alignment horizontal="centerContinuous" vertical="center"/>
    </xf>
    <xf numFmtId="0" fontId="16" fillId="0" borderId="13" xfId="0" applyFont="1" applyBorder="1" applyAlignment="1">
      <alignment horizontal="centerContinuous" vertical="center"/>
    </xf>
    <xf numFmtId="0" fontId="15" fillId="0" borderId="6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23" fillId="0" borderId="11" xfId="0" quotePrefix="1" applyFont="1" applyBorder="1" applyAlignment="1">
      <alignment horizontal="centerContinuous" vertical="center"/>
    </xf>
    <xf numFmtId="0" fontId="17" fillId="0" borderId="12" xfId="0" applyFont="1" applyBorder="1" applyAlignment="1">
      <alignment horizontal="centerContinuous" vertical="center"/>
    </xf>
    <xf numFmtId="0" fontId="17" fillId="0" borderId="13" xfId="0" applyFont="1" applyBorder="1" applyAlignment="1">
      <alignment horizontal="centerContinuous" vertical="center"/>
    </xf>
    <xf numFmtId="0" fontId="15" fillId="4" borderId="15" xfId="0" applyFont="1" applyFill="1" applyBorder="1" applyAlignment="1">
      <alignment horizontal="centerContinuous" vertical="center"/>
    </xf>
    <xf numFmtId="0" fontId="15" fillId="4" borderId="2" xfId="0" applyFont="1" applyFill="1" applyBorder="1" applyAlignment="1">
      <alignment horizontal="centerContinuous" vertical="center"/>
    </xf>
    <xf numFmtId="0" fontId="15" fillId="4" borderId="14" xfId="0" applyFont="1" applyFill="1" applyBorder="1" applyAlignment="1">
      <alignment horizontal="centerContinuous" vertical="center"/>
    </xf>
    <xf numFmtId="0" fontId="15" fillId="0" borderId="0" xfId="0" applyFont="1" applyAlignment="1">
      <alignment vertical="center" wrapText="1"/>
    </xf>
    <xf numFmtId="0" fontId="16" fillId="0" borderId="3" xfId="0" quotePrefix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6" borderId="9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6" borderId="10" xfId="0" applyFont="1" applyFill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6" fillId="6" borderId="0" xfId="0" applyFont="1" applyFill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24" fillId="4" borderId="15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6" fillId="0" borderId="10" xfId="0" quotePrefix="1" applyFont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76" fontId="15" fillId="4" borderId="15" xfId="0" quotePrefix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</cellXfs>
  <cellStyles count="41">
    <cellStyle name="AeE­ [0]" xfId="1" xr:uid="{00000000-0005-0000-0000-000000000000}"/>
    <cellStyle name="AeE­_¿μ¾÷AIAIAß°ø¾÷ " xfId="2" xr:uid="{00000000-0005-0000-0000-000001000000}"/>
    <cellStyle name="AÞ¸¶ [0]" xfId="3" xr:uid="{00000000-0005-0000-0000-000002000000}"/>
    <cellStyle name="AÞ¸¶_¿μ¾÷AIAIAß°ø¾÷ " xfId="4" xr:uid="{00000000-0005-0000-0000-000003000000}"/>
    <cellStyle name="C￥AØ_¿μ¾÷AIAIAß°ø¾÷ " xfId="5" xr:uid="{00000000-0005-0000-0000-000004000000}"/>
    <cellStyle name="Ç¥ÁØ_presario " xfId="6" xr:uid="{00000000-0005-0000-0000-000005000000}"/>
    <cellStyle name="Calc Currency (0)" xfId="7" xr:uid="{00000000-0005-0000-0000-000006000000}"/>
    <cellStyle name="Comma [0]_ SG&amp;A Bridge " xfId="8" xr:uid="{00000000-0005-0000-0000-000007000000}"/>
    <cellStyle name="Comma_ SG&amp;A Bridge " xfId="9" xr:uid="{00000000-0005-0000-0000-000008000000}"/>
    <cellStyle name="Currency [0]_ SG&amp;A Bridge " xfId="10" xr:uid="{00000000-0005-0000-0000-000009000000}"/>
    <cellStyle name="Currency_ SG&amp;A Bridge " xfId="11" xr:uid="{00000000-0005-0000-0000-00000A000000}"/>
    <cellStyle name="Grey" xfId="12" xr:uid="{00000000-0005-0000-0000-00000B000000}"/>
    <cellStyle name="Header1" xfId="13" xr:uid="{00000000-0005-0000-0000-00000C000000}"/>
    <cellStyle name="Header2" xfId="14" xr:uid="{00000000-0005-0000-0000-00000D000000}"/>
    <cellStyle name="Input [yellow]" xfId="15" xr:uid="{00000000-0005-0000-0000-00000E000000}"/>
    <cellStyle name="Normal - Style1" xfId="16" xr:uid="{00000000-0005-0000-0000-00000F000000}"/>
    <cellStyle name="Normal_ SG&amp;A Bridge " xfId="17" xr:uid="{00000000-0005-0000-0000-000010000000}"/>
    <cellStyle name="Percent [2]" xfId="18" xr:uid="{00000000-0005-0000-0000-000011000000}"/>
    <cellStyle name="Tusental (0)_pldt" xfId="19" xr:uid="{00000000-0005-0000-0000-000012000000}"/>
    <cellStyle name="Tusental_pldt" xfId="20" xr:uid="{00000000-0005-0000-0000-000013000000}"/>
    <cellStyle name="Valuta (0)_pldt" xfId="21" xr:uid="{00000000-0005-0000-0000-000014000000}"/>
    <cellStyle name="Valuta_pldt" xfId="22" xr:uid="{00000000-0005-0000-0000-000015000000}"/>
    <cellStyle name="고정소숫점" xfId="23" xr:uid="{00000000-0005-0000-0000-000016000000}"/>
    <cellStyle name="고정출력1" xfId="24" xr:uid="{00000000-0005-0000-0000-000017000000}"/>
    <cellStyle name="고정출력2" xfId="25" xr:uid="{00000000-0005-0000-0000-000018000000}"/>
    <cellStyle name="날짜" xfId="26" xr:uid="{00000000-0005-0000-0000-000019000000}"/>
    <cellStyle name="달러" xfId="27" xr:uid="{00000000-0005-0000-0000-00001A000000}"/>
    <cellStyle name="뒤에 오는 하이퍼링크_출석부" xfId="28" xr:uid="{00000000-0005-0000-0000-00001B000000}"/>
    <cellStyle name="뷭?_BOOKSHIP" xfId="29" xr:uid="{00000000-0005-0000-0000-00001C000000}"/>
    <cellStyle name="숫자(R)" xfId="30" xr:uid="{00000000-0005-0000-0000-00001D000000}"/>
    <cellStyle name="안건회계법인" xfId="31" xr:uid="{00000000-0005-0000-0000-00001E000000}"/>
    <cellStyle name="자리수" xfId="32" xr:uid="{00000000-0005-0000-0000-00001F000000}"/>
    <cellStyle name="자리수0" xfId="33" xr:uid="{00000000-0005-0000-0000-000020000000}"/>
    <cellStyle name="콤마 [0]_#10 재 " xfId="34" xr:uid="{00000000-0005-0000-0000-000021000000}"/>
    <cellStyle name="콤마_#10 재 " xfId="35" xr:uid="{00000000-0005-0000-0000-000022000000}"/>
    <cellStyle name="퍼센트" xfId="36" xr:uid="{00000000-0005-0000-0000-000023000000}"/>
    <cellStyle name="표준" xfId="0" builtinId="0"/>
    <cellStyle name="표준_구공 대기관리 프로세스" xfId="37" xr:uid="{00000000-0005-0000-0000-000025000000}"/>
    <cellStyle name="합산" xfId="38" xr:uid="{00000000-0005-0000-0000-000026000000}"/>
    <cellStyle name="화폐기호" xfId="39" xr:uid="{00000000-0005-0000-0000-000027000000}"/>
    <cellStyle name="화폐기호0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9</xdr:row>
      <xdr:rowOff>57150</xdr:rowOff>
    </xdr:from>
    <xdr:to>
      <xdr:col>11</xdr:col>
      <xdr:colOff>333375</xdr:colOff>
      <xdr:row>11</xdr:row>
      <xdr:rowOff>95250</xdr:rowOff>
    </xdr:to>
    <xdr:sp macro="" textlink="">
      <xdr:nvSpPr>
        <xdr:cNvPr id="8634" name="Rectangle 442">
          <a:extLst>
            <a:ext uri="{FF2B5EF4-FFF2-40B4-BE49-F238E27FC236}">
              <a16:creationId xmlns:a16="http://schemas.microsoft.com/office/drawing/2014/main" id="{00000000-0008-0000-0100-0000BA210000}"/>
            </a:ext>
          </a:extLst>
        </xdr:cNvPr>
        <xdr:cNvSpPr>
          <a:spLocks noChangeArrowheads="1"/>
        </xdr:cNvSpPr>
      </xdr:nvSpPr>
      <xdr:spPr bwMode="auto">
        <a:xfrm>
          <a:off x="2266950" y="2085975"/>
          <a:ext cx="19050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법규 및 준수의무사항 파악</a:t>
          </a:r>
        </a:p>
      </xdr:txBody>
    </xdr:sp>
    <xdr:clientData/>
  </xdr:twoCellAnchor>
  <xdr:twoCellAnchor>
    <xdr:from>
      <xdr:col>7</xdr:col>
      <xdr:colOff>47625</xdr:colOff>
      <xdr:row>19</xdr:row>
      <xdr:rowOff>0</xdr:rowOff>
    </xdr:from>
    <xdr:to>
      <xdr:col>11</xdr:col>
      <xdr:colOff>333375</xdr:colOff>
      <xdr:row>21</xdr:row>
      <xdr:rowOff>19050</xdr:rowOff>
    </xdr:to>
    <xdr:sp macro="" textlink="">
      <xdr:nvSpPr>
        <xdr:cNvPr id="8635" name="Rectangle 443">
          <a:extLst>
            <a:ext uri="{FF2B5EF4-FFF2-40B4-BE49-F238E27FC236}">
              <a16:creationId xmlns:a16="http://schemas.microsoft.com/office/drawing/2014/main" id="{00000000-0008-0000-0100-0000BB210000}"/>
            </a:ext>
          </a:extLst>
        </xdr:cNvPr>
        <xdr:cNvSpPr>
          <a:spLocks noChangeArrowheads="1"/>
        </xdr:cNvSpPr>
      </xdr:nvSpPr>
      <xdr:spPr bwMode="auto">
        <a:xfrm>
          <a:off x="2266950" y="3743325"/>
          <a:ext cx="190500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법규 및 준수의무 변경사항 입수</a:t>
          </a:r>
        </a:p>
      </xdr:txBody>
    </xdr:sp>
    <xdr:clientData/>
  </xdr:twoCellAnchor>
  <xdr:twoCellAnchor>
    <xdr:from>
      <xdr:col>7</xdr:col>
      <xdr:colOff>91048</xdr:colOff>
      <xdr:row>22</xdr:row>
      <xdr:rowOff>98052</xdr:rowOff>
    </xdr:from>
    <xdr:to>
      <xdr:col>11</xdr:col>
      <xdr:colOff>285750</xdr:colOff>
      <xdr:row>26</xdr:row>
      <xdr:rowOff>133351</xdr:rowOff>
    </xdr:to>
    <xdr:sp macro="" textlink="">
      <xdr:nvSpPr>
        <xdr:cNvPr id="8636" name="AutoShape 444">
          <a:extLst>
            <a:ext uri="{FF2B5EF4-FFF2-40B4-BE49-F238E27FC236}">
              <a16:creationId xmlns:a16="http://schemas.microsoft.com/office/drawing/2014/main" id="{00000000-0008-0000-0100-0000BC210000}"/>
            </a:ext>
          </a:extLst>
        </xdr:cNvPr>
        <xdr:cNvSpPr>
          <a:spLocks noChangeArrowheads="1"/>
        </xdr:cNvSpPr>
      </xdr:nvSpPr>
      <xdr:spPr bwMode="auto">
        <a:xfrm>
          <a:off x="2318217" y="4321269"/>
          <a:ext cx="1805548" cy="707652"/>
        </a:xfrm>
        <a:prstGeom prst="diamond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사업장 적용 여부</a:t>
          </a:r>
        </a:p>
      </xdr:txBody>
    </xdr:sp>
    <xdr:clientData/>
  </xdr:twoCellAnchor>
  <xdr:twoCellAnchor>
    <xdr:from>
      <xdr:col>7</xdr:col>
      <xdr:colOff>47625</xdr:colOff>
      <xdr:row>29</xdr:row>
      <xdr:rowOff>123825</xdr:rowOff>
    </xdr:from>
    <xdr:to>
      <xdr:col>11</xdr:col>
      <xdr:colOff>333375</xdr:colOff>
      <xdr:row>31</xdr:row>
      <xdr:rowOff>161925</xdr:rowOff>
    </xdr:to>
    <xdr:sp macro="" textlink="">
      <xdr:nvSpPr>
        <xdr:cNvPr id="8637" name="Rectangle 445">
          <a:extLst>
            <a:ext uri="{FF2B5EF4-FFF2-40B4-BE49-F238E27FC236}">
              <a16:creationId xmlns:a16="http://schemas.microsoft.com/office/drawing/2014/main" id="{00000000-0008-0000-0100-0000BD210000}"/>
            </a:ext>
          </a:extLst>
        </xdr:cNvPr>
        <xdr:cNvSpPr>
          <a:spLocks noChangeArrowheads="1"/>
        </xdr:cNvSpPr>
      </xdr:nvSpPr>
      <xdr:spPr bwMode="auto">
        <a:xfrm>
          <a:off x="2266950" y="5581650"/>
          <a:ext cx="19050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준수의무사항 등록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list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작성</a:t>
          </a:r>
        </a:p>
      </xdr:txBody>
    </xdr:sp>
    <xdr:clientData/>
  </xdr:twoCellAnchor>
  <xdr:twoCellAnchor>
    <xdr:from>
      <xdr:col>7</xdr:col>
      <xdr:colOff>47625</xdr:colOff>
      <xdr:row>33</xdr:row>
      <xdr:rowOff>21288</xdr:rowOff>
    </xdr:from>
    <xdr:to>
      <xdr:col>11</xdr:col>
      <xdr:colOff>333375</xdr:colOff>
      <xdr:row>35</xdr:row>
      <xdr:rowOff>56027</xdr:rowOff>
    </xdr:to>
    <xdr:sp macro="" textlink="">
      <xdr:nvSpPr>
        <xdr:cNvPr id="8638" name="Rectangle 446">
          <a:extLst>
            <a:ext uri="{FF2B5EF4-FFF2-40B4-BE49-F238E27FC236}">
              <a16:creationId xmlns:a16="http://schemas.microsoft.com/office/drawing/2014/main" id="{00000000-0008-0000-0100-0000BE210000}"/>
            </a:ext>
          </a:extLst>
        </xdr:cNvPr>
        <xdr:cNvSpPr>
          <a:spLocks noChangeArrowheads="1"/>
        </xdr:cNvSpPr>
      </xdr:nvSpPr>
      <xdr:spPr bwMode="auto">
        <a:xfrm>
          <a:off x="2288801" y="6117288"/>
          <a:ext cx="1921809" cy="3709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준수의무사항 등록부</a:t>
          </a:r>
        </a:p>
      </xdr:txBody>
    </xdr:sp>
    <xdr:clientData/>
  </xdr:twoCellAnchor>
  <xdr:twoCellAnchor>
    <xdr:from>
      <xdr:col>3</xdr:col>
      <xdr:colOff>104775</xdr:colOff>
      <xdr:row>40</xdr:row>
      <xdr:rowOff>0</xdr:rowOff>
    </xdr:from>
    <xdr:to>
      <xdr:col>11</xdr:col>
      <xdr:colOff>314325</xdr:colOff>
      <xdr:row>42</xdr:row>
      <xdr:rowOff>0</xdr:rowOff>
    </xdr:to>
    <xdr:sp macro="" textlink="">
      <xdr:nvSpPr>
        <xdr:cNvPr id="8644" name="Rectangle 452">
          <a:extLst>
            <a:ext uri="{FF2B5EF4-FFF2-40B4-BE49-F238E27FC236}">
              <a16:creationId xmlns:a16="http://schemas.microsoft.com/office/drawing/2014/main" id="{00000000-0008-0000-0100-0000C4210000}"/>
            </a:ext>
          </a:extLst>
        </xdr:cNvPr>
        <xdr:cNvSpPr>
          <a:spLocks noChangeArrowheads="1"/>
        </xdr:cNvSpPr>
      </xdr:nvSpPr>
      <xdr:spPr bwMode="auto">
        <a:xfrm>
          <a:off x="923925" y="7343775"/>
          <a:ext cx="3228975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교육</a:t>
          </a:r>
        </a:p>
      </xdr:txBody>
    </xdr:sp>
    <xdr:clientData/>
  </xdr:twoCellAnchor>
  <xdr:twoCellAnchor>
    <xdr:from>
      <xdr:col>3</xdr:col>
      <xdr:colOff>83342</xdr:colOff>
      <xdr:row>12</xdr:row>
      <xdr:rowOff>142875</xdr:rowOff>
    </xdr:from>
    <xdr:to>
      <xdr:col>6</xdr:col>
      <xdr:colOff>154079</xdr:colOff>
      <xdr:row>14</xdr:row>
      <xdr:rowOff>98052</xdr:rowOff>
    </xdr:to>
    <xdr:sp macro="" textlink="">
      <xdr:nvSpPr>
        <xdr:cNvPr id="8645" name="Rectangle 453">
          <a:extLst>
            <a:ext uri="{FF2B5EF4-FFF2-40B4-BE49-F238E27FC236}">
              <a16:creationId xmlns:a16="http://schemas.microsoft.com/office/drawing/2014/main" id="{00000000-0008-0000-0100-0000C5210000}"/>
            </a:ext>
          </a:extLst>
        </xdr:cNvPr>
        <xdr:cNvSpPr>
          <a:spLocks noChangeArrowheads="1"/>
        </xdr:cNvSpPr>
      </xdr:nvSpPr>
      <xdr:spPr bwMode="auto">
        <a:xfrm>
          <a:off x="902772" y="2685210"/>
          <a:ext cx="1079267" cy="29135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법규 입수 요청</a:t>
          </a:r>
        </a:p>
      </xdr:txBody>
    </xdr:sp>
    <xdr:clientData/>
  </xdr:twoCellAnchor>
  <xdr:twoCellAnchor>
    <xdr:from>
      <xdr:col>3</xdr:col>
      <xdr:colOff>100012</xdr:colOff>
      <xdr:row>37</xdr:row>
      <xdr:rowOff>44822</xdr:rowOff>
    </xdr:from>
    <xdr:to>
      <xdr:col>6</xdr:col>
      <xdr:colOff>4762</xdr:colOff>
      <xdr:row>38</xdr:row>
      <xdr:rowOff>133349</xdr:rowOff>
    </xdr:to>
    <xdr:sp macro="" textlink="">
      <xdr:nvSpPr>
        <xdr:cNvPr id="8649" name="Rectangle 457">
          <a:extLst>
            <a:ext uri="{FF2B5EF4-FFF2-40B4-BE49-F238E27FC236}">
              <a16:creationId xmlns:a16="http://schemas.microsoft.com/office/drawing/2014/main" id="{00000000-0008-0000-0100-0000C9210000}"/>
            </a:ext>
          </a:extLst>
        </xdr:cNvPr>
        <xdr:cNvSpPr>
          <a:spLocks noChangeArrowheads="1"/>
        </xdr:cNvSpPr>
      </xdr:nvSpPr>
      <xdr:spPr bwMode="auto">
        <a:xfrm>
          <a:off x="929247" y="6813175"/>
          <a:ext cx="913280" cy="2566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관련부서배포</a:t>
          </a:r>
        </a:p>
      </xdr:txBody>
    </xdr:sp>
    <xdr:clientData/>
  </xdr:twoCellAnchor>
  <xdr:twoCellAnchor>
    <xdr:from>
      <xdr:col>3</xdr:col>
      <xdr:colOff>80963</xdr:colOff>
      <xdr:row>26</xdr:row>
      <xdr:rowOff>66671</xdr:rowOff>
    </xdr:from>
    <xdr:to>
      <xdr:col>5</xdr:col>
      <xdr:colOff>319088</xdr:colOff>
      <xdr:row>27</xdr:row>
      <xdr:rowOff>142871</xdr:rowOff>
    </xdr:to>
    <xdr:sp macro="" textlink="">
      <xdr:nvSpPr>
        <xdr:cNvPr id="8652" name="Rectangle 460">
          <a:extLst>
            <a:ext uri="{FF2B5EF4-FFF2-40B4-BE49-F238E27FC236}">
              <a16:creationId xmlns:a16="http://schemas.microsoft.com/office/drawing/2014/main" id="{00000000-0008-0000-0100-0000CC210000}"/>
            </a:ext>
          </a:extLst>
        </xdr:cNvPr>
        <xdr:cNvSpPr>
          <a:spLocks noChangeArrowheads="1"/>
        </xdr:cNvSpPr>
      </xdr:nvSpPr>
      <xdr:spPr bwMode="auto">
        <a:xfrm>
          <a:off x="902494" y="4924421"/>
          <a:ext cx="904875" cy="2428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자료 활용</a:t>
          </a:r>
        </a:p>
      </xdr:txBody>
    </xdr:sp>
    <xdr:clientData/>
  </xdr:twoCellAnchor>
  <xdr:twoCellAnchor>
    <xdr:from>
      <xdr:col>9</xdr:col>
      <xdr:colOff>200025</xdr:colOff>
      <xdr:row>11</xdr:row>
      <xdr:rowOff>95250</xdr:rowOff>
    </xdr:from>
    <xdr:to>
      <xdr:col>9</xdr:col>
      <xdr:colOff>200025</xdr:colOff>
      <xdr:row>19</xdr:row>
      <xdr:rowOff>0</xdr:rowOff>
    </xdr:to>
    <xdr:cxnSp macro="">
      <xdr:nvCxnSpPr>
        <xdr:cNvPr id="9058" name="AutoShape 469">
          <a:extLst>
            <a:ext uri="{FF2B5EF4-FFF2-40B4-BE49-F238E27FC236}">
              <a16:creationId xmlns:a16="http://schemas.microsoft.com/office/drawing/2014/main" id="{00000000-0008-0000-0100-000062230000}"/>
            </a:ext>
          </a:extLst>
        </xdr:cNvPr>
        <xdr:cNvCxnSpPr>
          <a:cxnSpLocks noChangeShapeType="1"/>
          <a:stCxn id="8634" idx="2"/>
          <a:endCxn id="8635" idx="0"/>
        </xdr:cNvCxnSpPr>
      </xdr:nvCxnSpPr>
      <xdr:spPr bwMode="auto">
        <a:xfrm rot="5400000">
          <a:off x="2581275" y="3105150"/>
          <a:ext cx="12763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195403</xdr:colOff>
      <xdr:row>21</xdr:row>
      <xdr:rowOff>19050</xdr:rowOff>
    </xdr:from>
    <xdr:to>
      <xdr:col>9</xdr:col>
      <xdr:colOff>197504</xdr:colOff>
      <xdr:row>22</xdr:row>
      <xdr:rowOff>98052</xdr:rowOff>
    </xdr:to>
    <xdr:cxnSp macro="">
      <xdr:nvCxnSpPr>
        <xdr:cNvPr id="9059" name="AutoShape 471">
          <a:extLst>
            <a:ext uri="{FF2B5EF4-FFF2-40B4-BE49-F238E27FC236}">
              <a16:creationId xmlns:a16="http://schemas.microsoft.com/office/drawing/2014/main" id="{00000000-0008-0000-0100-000063230000}"/>
            </a:ext>
          </a:extLst>
        </xdr:cNvPr>
        <xdr:cNvCxnSpPr>
          <a:cxnSpLocks noChangeShapeType="1"/>
          <a:stCxn id="8635" idx="2"/>
          <a:endCxn id="8636" idx="0"/>
        </xdr:cNvCxnSpPr>
      </xdr:nvCxnSpPr>
      <xdr:spPr bwMode="auto">
        <a:xfrm flipH="1">
          <a:off x="3220991" y="4074179"/>
          <a:ext cx="2101" cy="24709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195403</xdr:colOff>
      <xdr:row>26</xdr:row>
      <xdr:rowOff>133351</xdr:rowOff>
    </xdr:from>
    <xdr:to>
      <xdr:col>9</xdr:col>
      <xdr:colOff>197504</xdr:colOff>
      <xdr:row>29</xdr:row>
      <xdr:rowOff>123825</xdr:rowOff>
    </xdr:to>
    <xdr:cxnSp macro="">
      <xdr:nvCxnSpPr>
        <xdr:cNvPr id="9060" name="AutoShape 473">
          <a:extLst>
            <a:ext uri="{FF2B5EF4-FFF2-40B4-BE49-F238E27FC236}">
              <a16:creationId xmlns:a16="http://schemas.microsoft.com/office/drawing/2014/main" id="{00000000-0008-0000-0100-000064230000}"/>
            </a:ext>
          </a:extLst>
        </xdr:cNvPr>
        <xdr:cNvCxnSpPr>
          <a:cxnSpLocks noChangeShapeType="1"/>
          <a:stCxn id="8636" idx="2"/>
          <a:endCxn id="8637" idx="0"/>
        </xdr:cNvCxnSpPr>
      </xdr:nvCxnSpPr>
      <xdr:spPr bwMode="auto">
        <a:xfrm>
          <a:off x="3220991" y="5028921"/>
          <a:ext cx="2101" cy="49473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200025</xdr:colOff>
      <xdr:row>31</xdr:row>
      <xdr:rowOff>161925</xdr:rowOff>
    </xdr:from>
    <xdr:to>
      <xdr:col>9</xdr:col>
      <xdr:colOff>200025</xdr:colOff>
      <xdr:row>33</xdr:row>
      <xdr:rowOff>19050</xdr:rowOff>
    </xdr:to>
    <xdr:cxnSp macro="">
      <xdr:nvCxnSpPr>
        <xdr:cNvPr id="9061" name="AutoShape 475">
          <a:extLst>
            <a:ext uri="{FF2B5EF4-FFF2-40B4-BE49-F238E27FC236}">
              <a16:creationId xmlns:a16="http://schemas.microsoft.com/office/drawing/2014/main" id="{00000000-0008-0000-0100-000065230000}"/>
            </a:ext>
          </a:extLst>
        </xdr:cNvPr>
        <xdr:cNvCxnSpPr>
          <a:cxnSpLocks noChangeShapeType="1"/>
          <a:stCxn id="8637" idx="2"/>
          <a:endCxn id="8638" idx="0"/>
        </xdr:cNvCxnSpPr>
      </xdr:nvCxnSpPr>
      <xdr:spPr bwMode="auto">
        <a:xfrm>
          <a:off x="3219450" y="5962650"/>
          <a:ext cx="0" cy="2000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219075</xdr:colOff>
      <xdr:row>38</xdr:row>
      <xdr:rowOff>133350</xdr:rowOff>
    </xdr:from>
    <xdr:to>
      <xdr:col>7</xdr:col>
      <xdr:colOff>323850</xdr:colOff>
      <xdr:row>40</xdr:row>
      <xdr:rowOff>0</xdr:rowOff>
    </xdr:to>
    <xdr:cxnSp macro="">
      <xdr:nvCxnSpPr>
        <xdr:cNvPr id="9062" name="AutoShape 479">
          <a:extLst>
            <a:ext uri="{FF2B5EF4-FFF2-40B4-BE49-F238E27FC236}">
              <a16:creationId xmlns:a16="http://schemas.microsoft.com/office/drawing/2014/main" id="{00000000-0008-0000-0100-000066230000}"/>
            </a:ext>
          </a:extLst>
        </xdr:cNvPr>
        <xdr:cNvCxnSpPr>
          <a:cxnSpLocks noChangeShapeType="1"/>
          <a:stCxn id="8649" idx="2"/>
          <a:endCxn id="8644" idx="0"/>
        </xdr:cNvCxnSpPr>
      </xdr:nvCxnSpPr>
      <xdr:spPr bwMode="auto">
        <a:xfrm rot="16200000" flipH="1">
          <a:off x="1852613" y="6653212"/>
          <a:ext cx="209550" cy="11715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85725</xdr:colOff>
      <xdr:row>23</xdr:row>
      <xdr:rowOff>85725</xdr:rowOff>
    </xdr:from>
    <xdr:to>
      <xdr:col>7</xdr:col>
      <xdr:colOff>47625</xdr:colOff>
      <xdr:row>25</xdr:row>
      <xdr:rowOff>0</xdr:rowOff>
    </xdr:to>
    <xdr:sp macro="" textlink="">
      <xdr:nvSpPr>
        <xdr:cNvPr id="8672" name="Text Box 480">
          <a:extLst>
            <a:ext uri="{FF2B5EF4-FFF2-40B4-BE49-F238E27FC236}">
              <a16:creationId xmlns:a16="http://schemas.microsoft.com/office/drawing/2014/main" id="{00000000-0008-0000-0100-0000E0210000}"/>
            </a:ext>
          </a:extLst>
        </xdr:cNvPr>
        <xdr:cNvSpPr txBox="1">
          <a:spLocks noChangeArrowheads="1"/>
        </xdr:cNvSpPr>
      </xdr:nvSpPr>
      <xdr:spPr bwMode="auto">
        <a:xfrm>
          <a:off x="1905000" y="4514850"/>
          <a:ext cx="361950" cy="25717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NO</a:t>
          </a:r>
        </a:p>
      </xdr:txBody>
    </xdr:sp>
    <xdr:clientData/>
  </xdr:twoCellAnchor>
  <xdr:twoCellAnchor>
    <xdr:from>
      <xdr:col>9</xdr:col>
      <xdr:colOff>247650</xdr:colOff>
      <xdr:row>26</xdr:row>
      <xdr:rowOff>133350</xdr:rowOff>
    </xdr:from>
    <xdr:to>
      <xdr:col>10</xdr:col>
      <xdr:colOff>266700</xdr:colOff>
      <xdr:row>27</xdr:row>
      <xdr:rowOff>152400</xdr:rowOff>
    </xdr:to>
    <xdr:sp macro="" textlink="">
      <xdr:nvSpPr>
        <xdr:cNvPr id="8673" name="Text Box 481">
          <a:extLst>
            <a:ext uri="{FF2B5EF4-FFF2-40B4-BE49-F238E27FC236}">
              <a16:creationId xmlns:a16="http://schemas.microsoft.com/office/drawing/2014/main" id="{00000000-0008-0000-0100-0000E1210000}"/>
            </a:ext>
          </a:extLst>
        </xdr:cNvPr>
        <xdr:cNvSpPr txBox="1">
          <a:spLocks noChangeArrowheads="1"/>
        </xdr:cNvSpPr>
      </xdr:nvSpPr>
      <xdr:spPr bwMode="auto">
        <a:xfrm>
          <a:off x="3267075" y="5076825"/>
          <a:ext cx="428625" cy="1905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YES</a:t>
          </a:r>
        </a:p>
      </xdr:txBody>
    </xdr:sp>
    <xdr:clientData/>
  </xdr:twoCellAnchor>
  <xdr:twoCellAnchor>
    <xdr:from>
      <xdr:col>4</xdr:col>
      <xdr:colOff>286800</xdr:colOff>
      <xdr:row>14</xdr:row>
      <xdr:rowOff>98051</xdr:rowOff>
    </xdr:from>
    <xdr:to>
      <xdr:col>9</xdr:col>
      <xdr:colOff>197505</xdr:colOff>
      <xdr:row>18</xdr:row>
      <xdr:rowOff>168087</xdr:rowOff>
    </xdr:to>
    <xdr:cxnSp macro="">
      <xdr:nvCxnSpPr>
        <xdr:cNvPr id="9065" name="AutoShape 479">
          <a:extLst>
            <a:ext uri="{FF2B5EF4-FFF2-40B4-BE49-F238E27FC236}">
              <a16:creationId xmlns:a16="http://schemas.microsoft.com/office/drawing/2014/main" id="{00000000-0008-0000-0100-000069230000}"/>
            </a:ext>
          </a:extLst>
        </xdr:cNvPr>
        <xdr:cNvCxnSpPr>
          <a:cxnSpLocks noChangeShapeType="1"/>
          <a:stCxn id="8645" idx="2"/>
          <a:endCxn id="8635" idx="0"/>
        </xdr:cNvCxnSpPr>
      </xdr:nvCxnSpPr>
      <xdr:spPr bwMode="auto">
        <a:xfrm rot="16200000" flipH="1">
          <a:off x="1961555" y="2457414"/>
          <a:ext cx="742389" cy="1780686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200026</xdr:colOff>
      <xdr:row>24</xdr:row>
      <xdr:rowOff>115702</xdr:rowOff>
    </xdr:from>
    <xdr:to>
      <xdr:col>7</xdr:col>
      <xdr:colOff>91049</xdr:colOff>
      <xdr:row>26</xdr:row>
      <xdr:rowOff>66671</xdr:rowOff>
    </xdr:to>
    <xdr:cxnSp macro="">
      <xdr:nvCxnSpPr>
        <xdr:cNvPr id="9066" name="AutoShape 479">
          <a:extLst>
            <a:ext uri="{FF2B5EF4-FFF2-40B4-BE49-F238E27FC236}">
              <a16:creationId xmlns:a16="http://schemas.microsoft.com/office/drawing/2014/main" id="{00000000-0008-0000-0100-00006A230000}"/>
            </a:ext>
          </a:extLst>
        </xdr:cNvPr>
        <xdr:cNvCxnSpPr>
          <a:cxnSpLocks noChangeShapeType="1"/>
          <a:stCxn id="8636" idx="1"/>
          <a:endCxn id="8652" idx="0"/>
        </xdr:cNvCxnSpPr>
      </xdr:nvCxnSpPr>
      <xdr:spPr bwMode="auto">
        <a:xfrm rot="10800000" flipV="1">
          <a:off x="1355633" y="4675095"/>
          <a:ext cx="962585" cy="287146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219075</xdr:colOff>
      <xdr:row>31</xdr:row>
      <xdr:rowOff>161925</xdr:rowOff>
    </xdr:from>
    <xdr:to>
      <xdr:col>9</xdr:col>
      <xdr:colOff>200025</xdr:colOff>
      <xdr:row>37</xdr:row>
      <xdr:rowOff>47625</xdr:rowOff>
    </xdr:to>
    <xdr:cxnSp macro="">
      <xdr:nvCxnSpPr>
        <xdr:cNvPr id="9067" name="AutoShape 479">
          <a:extLst>
            <a:ext uri="{FF2B5EF4-FFF2-40B4-BE49-F238E27FC236}">
              <a16:creationId xmlns:a16="http://schemas.microsoft.com/office/drawing/2014/main" id="{00000000-0008-0000-0100-00006B230000}"/>
            </a:ext>
          </a:extLst>
        </xdr:cNvPr>
        <xdr:cNvCxnSpPr>
          <a:cxnSpLocks noChangeShapeType="1"/>
          <a:stCxn id="8637" idx="2"/>
          <a:endCxn id="8649" idx="0"/>
        </xdr:cNvCxnSpPr>
      </xdr:nvCxnSpPr>
      <xdr:spPr bwMode="auto">
        <a:xfrm rot="5400000">
          <a:off x="1838325" y="5495925"/>
          <a:ext cx="914400" cy="1847850"/>
        </a:xfrm>
        <a:prstGeom prst="bentConnector3">
          <a:avLst>
            <a:gd name="adj1" fmla="val 1354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219075</xdr:colOff>
      <xdr:row>35</xdr:row>
      <xdr:rowOff>57150</xdr:rowOff>
    </xdr:from>
    <xdr:to>
      <xdr:col>9</xdr:col>
      <xdr:colOff>200025</xdr:colOff>
      <xdr:row>37</xdr:row>
      <xdr:rowOff>47625</xdr:rowOff>
    </xdr:to>
    <xdr:cxnSp macro="">
      <xdr:nvCxnSpPr>
        <xdr:cNvPr id="9068" name="AutoShape 479">
          <a:extLst>
            <a:ext uri="{FF2B5EF4-FFF2-40B4-BE49-F238E27FC236}">
              <a16:creationId xmlns:a16="http://schemas.microsoft.com/office/drawing/2014/main" id="{00000000-0008-0000-0100-00006C230000}"/>
            </a:ext>
          </a:extLst>
        </xdr:cNvPr>
        <xdr:cNvCxnSpPr>
          <a:cxnSpLocks noChangeShapeType="1"/>
          <a:stCxn id="8638" idx="2"/>
          <a:endCxn id="8649" idx="0"/>
        </xdr:cNvCxnSpPr>
      </xdr:nvCxnSpPr>
      <xdr:spPr bwMode="auto">
        <a:xfrm rot="5400000">
          <a:off x="2128837" y="5786438"/>
          <a:ext cx="333375" cy="18478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9702_05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ho\c\KBG\&#44536;&#45285;&#50672;&#4420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0864;&#51648;&#4756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windows/TEMP/ZTV11C5/&#51648;&#50864;&#51648;&#47560;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2380;&#44277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50672;&#44277;&#496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73;&#50672;&#44277;&#496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305;&#51452;&#44277;&#496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72;&#49328;&#44277;&#496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47749;&#49888;\WORK\&#49552;&#51061;&#52628;&#51221;\1997\&#52628;&#51221;7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G&#51109;&#54924;&#51032;\PG&#44036;&#45812;&#54924;\5&#50900;\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16;&#50577;&#44277;&#4968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824;&#44396;&#44277;&#4968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My%20Documents/&#54861;&#44221;&#50865;/&#52488;&#52397;&#49464;&#48120;&#45208;/'99&#45380;&#46020;/&#54952;&#49457;&#51064;/1&#52264;(&#51312;&#51221;&#47000;)/WINDOWS/TEMP/TEMP/LDH/97&#44277;&#49688;/HGAN97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&#45432;&#49324;/98/&#51076;&#54801;/&#44592;&#52488;&#854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ZTV11C5\&#51648;&#50864;&#51648;&#47560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396;&#48120;&#44277;&#4968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HEXCEL/96KYOSUB/GOJOL/BONSA/&#44277;&#51109;&#45824;&#487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4221;&#50689;&#44228;&#54925;/&#50896;&#54364;/&#45824;&#48708;&#48512;&#4557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9552;&#51061;&#52628;&#51221;/1997/&#52628;&#51221;7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221;&#54788;\2000WORK\&#51648;&#50864;&#51648;&#47560;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&#44060;&#51064;2K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&#44060;&#51064;2K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47749;&#49888;\WORK\My%20Documents\TUJA\2002\YU\PLAN_OLD\ACP\SPAREAC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\EBIT2K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IN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LDH\97&#44277;&#49688;\HGAN97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50500;&#45817;&#51088;&#44053;\C\WINDOWS\TEMP\&#49888;&#51076;&#52264;&#5110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WINDOWS/TEMP/&#47749;&#45800;12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1월"/>
      <sheetName val="SCord"/>
      <sheetName val="광주"/>
      <sheetName val="구미"/>
      <sheetName val="10고객별 담당자"/>
      <sheetName val="매출이익011h"/>
      <sheetName val="용도01_02년비교"/>
      <sheetName val="용도02년"/>
      <sheetName val="CHAB02년1월이후"/>
      <sheetName val="Sheet1"/>
      <sheetName val="중강당 내역"/>
      <sheetName val="총괄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그냥연결"/>
      <sheetName val="임금실적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본사인상전"/>
      <sheetName val="광주"/>
      <sheetName val="구미"/>
      <sheetName val="대구"/>
      <sheetName val="언양"/>
      <sheetName val="용연"/>
      <sheetName val="울산"/>
      <sheetName val="중연"/>
      <sheetName val="진천"/>
      <sheetName val="비용"/>
      <sheetName val="T&amp;C"/>
      <sheetName val="고합"/>
      <sheetName val="99계획대비실적"/>
      <sheetName val="TNC(1안)"/>
      <sheetName val="직급실적"/>
      <sheetName val="산자강선PU(배부후)"/>
      <sheetName val="일급제인원실적"/>
      <sheetName val="월급제인원실적"/>
      <sheetName val="월급제부서원가별"/>
      <sheetName val="일급제부서원가별"/>
      <sheetName val="SUS배관단가"/>
      <sheetName val="시산표"/>
      <sheetName val="#REF"/>
      <sheetName val="1-12월"/>
      <sheetName val="Macro"/>
      <sheetName val="총무"/>
      <sheetName val="지수"/>
      <sheetName val="Base"/>
      <sheetName val="버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ROIC"/>
      <sheetName val="자산양식"/>
      <sheetName val="손익총괄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TDC"/>
      <sheetName val="HMC"/>
      <sheetName val="HEC"/>
      <sheetName val="HDV"/>
      <sheetName val="HEEC"/>
      <sheetName val="HIS"/>
      <sheetName val="HDS"/>
      <sheetName val="FINANCE"/>
      <sheetName val="트랜스월드"/>
      <sheetName val="공통비"/>
      <sheetName val="효성"/>
      <sheetName val="산자강선"/>
      <sheetName val="나이론원사"/>
      <sheetName val="PET원사"/>
      <sheetName val="직물PU"/>
      <sheetName val="인테리어"/>
      <sheetName val="성형"/>
      <sheetName val="PPDH"/>
      <sheetName val="TPA"/>
      <sheetName val="FILM"/>
      <sheetName val="생활환경"/>
      <sheetName val="전력"/>
      <sheetName val="기전"/>
      <sheetName val="건설"/>
      <sheetName val="컴퓨터"/>
      <sheetName val="화학"/>
      <sheetName val="염색"/>
      <sheetName val="기계"/>
      <sheetName val="철강"/>
      <sheetName val="섬유"/>
      <sheetName val="목재"/>
      <sheetName val="SPAN"/>
      <sheetName val="10월"/>
      <sheetName val="11월"/>
      <sheetName val="12월"/>
      <sheetName val="표지"/>
      <sheetName val="1_3_1.조정명세_년간"/>
      <sheetName val="1_3_2.조정명세_월별"/>
      <sheetName val="1_3_3.조정명세_03추정"/>
      <sheetName val="1.관리_연도"/>
      <sheetName val="1_1_1.관리_년간"/>
      <sheetName val="1_1_2.관리_월별"/>
      <sheetName val="1_1_3.관리_03추정"/>
      <sheetName val="1_2_1.재무_년간"/>
      <sheetName val="1_2_2.재무_월별"/>
      <sheetName val="1_2_3.재무_03추정"/>
      <sheetName val="1_4.사내판매"/>
      <sheetName val="1_5.대손충당금"/>
      <sheetName val="2_1_1.EV연간"/>
      <sheetName val="2_1_2.EV월별"/>
      <sheetName val="2_2_1.ROIC년간 (2)"/>
      <sheetName val="2_2_2.ROIC월별 (2)"/>
      <sheetName val="2_3_1.BEP"/>
      <sheetName val="2_3_2.BEP_보조"/>
      <sheetName val="3_1_1.제조비용년간"/>
      <sheetName val="3_1_2.제조비용월별"/>
      <sheetName val="3_1_3.매출원가"/>
      <sheetName val="3_1_4.표준원가_사업장별"/>
      <sheetName val="3_1_5.표준원가_규격별"/>
      <sheetName val="3_2_1.판관비년간"/>
      <sheetName val="3_2_2.판관비월별"/>
      <sheetName val="3_2_3.판관비년간상세"/>
      <sheetName val="3_2_4.판관비월별상세"/>
      <sheetName val="3_3_1.영외수지년간"/>
      <sheetName val="3_3_2.영외수지월별"/>
      <sheetName val="4_1_1.전년투자실적"/>
      <sheetName val="4_1_2.투자년도"/>
      <sheetName val="4_1_3.투자월별"/>
      <sheetName val="4_1_4.투자실적년도"/>
      <sheetName val="4_2_1.투하연도"/>
      <sheetName val="4_2_2.평균투하연도"/>
      <sheetName val="4_2_3.투하월별"/>
      <sheetName val="4_2_4.투하실적_99"/>
      <sheetName val="4_2_4.투하실적_00"/>
      <sheetName val="4_2_4.투하실적_01"/>
      <sheetName val="4_2_4.투하실적_02"/>
      <sheetName val="4_2_4.투하계획_03"/>
      <sheetName val="4_2_4.투하추정_03"/>
      <sheetName val="4_2_5.유산스진행"/>
      <sheetName val="4_2_6.유전스조정"/>
      <sheetName val="4_2_7.유전스조정_03추정"/>
      <sheetName val="4_3.여신"/>
      <sheetName val="4_4.재고"/>
      <sheetName val="5_1.현금흐름실적_연도"/>
      <sheetName val="5_2.현금흐름계획연도"/>
      <sheetName val="5_3.현금흐름월별"/>
      <sheetName val="5_4.현금흐름실적_99"/>
      <sheetName val="5_4.현금흐름실적_00"/>
      <sheetName val="5_4.현금흐름실적_01"/>
      <sheetName val="5_4.현금흐름실적_02"/>
      <sheetName val="5_4.현금흐름계획_03"/>
      <sheetName val="5_4.현금흐름추정_03"/>
      <sheetName val="6_1.주요경영지수"/>
      <sheetName val="6_1.주요경영지수월별"/>
      <sheetName val="6_1_1.수주"/>
      <sheetName val="6_1_2.수주월별"/>
      <sheetName val="6_2_1.생산량"/>
      <sheetName val="6_2_2.생산량월별"/>
      <sheetName val="6_2_3.생산"/>
      <sheetName val="6_2_4.생산월별"/>
      <sheetName val="6_3_1.판매량"/>
      <sheetName val="6_3_2.판매량월별"/>
      <sheetName val="6_4_1.판매금액"/>
      <sheetName val="6_4_2.판매금액월별"/>
      <sheetName val="6_5_1.시장별매출"/>
      <sheetName val="6_5_2.시장별매출월별"/>
      <sheetName val="6_5_3.시장별판매량"/>
      <sheetName val="6_5_4.시장별판매량월별"/>
      <sheetName val="6_5_5.수출"/>
      <sheetName val="6_5_6.시장별원부재료구매계획"/>
      <sheetName val="6_5_7.시장별원부재료구매월별"/>
      <sheetName val="6_5_8.외화표시"/>
      <sheetName val="6_6.관리지수"/>
      <sheetName val="7_1.인원"/>
      <sheetName val="7_2_1.인건비직접"/>
      <sheetName val="7_2_2.간접포함인건비"/>
      <sheetName val="7_3.공수"/>
      <sheetName val="TNC(1안)"/>
      <sheetName val="일급제인원실적"/>
      <sheetName val="고합"/>
      <sheetName val="월급제인원실적"/>
      <sheetName val="월급제부서원가별"/>
      <sheetName val="일급제부서원가별"/>
      <sheetName val="_REF"/>
      <sheetName val="1_12월"/>
      <sheetName val="그룹"/>
      <sheetName val="WORK"/>
      <sheetName val="적용환율"/>
      <sheetName val="EBITDA"/>
      <sheetName val="목록"/>
      <sheetName val="보정사항"/>
      <sheetName val="OPT손익 내수"/>
      <sheetName val="OPT손익 수출"/>
      <sheetName val="Base"/>
      <sheetName val="FOB"/>
      <sheetName val="생산량"/>
      <sheetName val="만기"/>
      <sheetName val="--"/>
      <sheetName val="11고객별 담당자"/>
      <sheetName val="구미2월"/>
      <sheetName val="안양2월"/>
      <sheetName val="admin"/>
      <sheetName val="교대(A1)"/>
      <sheetName val="1~3월"/>
      <sheetName val="T&amp;C"/>
      <sheetName val="db (don't touch)"/>
      <sheetName val="판가"/>
      <sheetName val="SUS배관단가"/>
      <sheetName val="창원계"/>
      <sheetName val="창원계(연)"/>
      <sheetName val="기획관리"/>
      <sheetName val="M-PJT"/>
      <sheetName val="생산관리혁신TFT_본사"/>
      <sheetName val="전략실행_본사"/>
      <sheetName val="기획혁신_본사"/>
      <sheetName val="회전기1"/>
      <sheetName val="발전기"/>
      <sheetName val="회전기2"/>
      <sheetName val="기어솔루션"/>
      <sheetName val="글로벌영업_계"/>
      <sheetName val="산설"/>
      <sheetName val="플랜트팀"/>
      <sheetName val="구매_기전담당"/>
      <sheetName val="연구_안양"/>
      <sheetName val="특수기설계"/>
      <sheetName val="발전기설계"/>
      <sheetName val="전동기기술"/>
      <sheetName val="고압개발"/>
      <sheetName val="저압개발"/>
      <sheetName val="저압제작"/>
      <sheetName val="저압부품"/>
      <sheetName val="저압설계"/>
      <sheetName val="고압제작"/>
      <sheetName val="고압설계"/>
      <sheetName val="기어제작"/>
      <sheetName val="기어설계"/>
      <sheetName val="기어개발"/>
      <sheetName val="생산기술"/>
      <sheetName val="산기"/>
      <sheetName val="주조"/>
      <sheetName val="품검"/>
      <sheetName val="고객_계"/>
      <sheetName val="플해영"/>
      <sheetName val="선박"/>
      <sheetName val="생관"/>
      <sheetName val="프리미엄전동기 TFT"/>
      <sheetName val="SPG TFT(구 LST-Ⅱ TFT)"/>
      <sheetName val="GBOX 생산TFT"/>
      <sheetName val="J3"/>
      <sheetName val="소형제작"/>
      <sheetName val="직류"/>
      <sheetName val="생산관리혁신TF_창원"/>
      <sheetName val="전략실행_창원"/>
      <sheetName val="기획혁신_창원"/>
      <sheetName val="연구_창원"/>
      <sheetName val="산설_판관"/>
      <sheetName val="플랜트_판관"/>
      <sheetName val="{참고-비용투입구입용}고객_창원"/>
      <sheetName val="산설_공사"/>
      <sheetName val="플랜트_공사"/>
      <sheetName val="11-12"/>
      <sheetName val="요약"/>
      <sheetName val="패키징"/>
      <sheetName val="PET"/>
      <sheetName val="99계획대비실적"/>
      <sheetName val="hierarchy"/>
      <sheetName val="1급갑"/>
      <sheetName val="CRITERIA1"/>
      <sheetName val="근속년수(입사일)"/>
      <sheetName val="2010년 매출 계획"/>
      <sheetName val="Y-WORK"/>
      <sheetName val="예산내역서"/>
      <sheetName val="▶판매량Trend(수정안)"/>
      <sheetName val="▶판가Trend(수정안)"/>
      <sheetName val="인상안"/>
      <sheetName val="쌍체T"/>
      <sheetName val="2sampleT"/>
      <sheetName val=""/>
      <sheetName val="01_12月_Lot별_판매실적.xls"/>
      <sheetName val="시산표"/>
      <sheetName val="현금예금"/>
      <sheetName val="TBS_3"/>
      <sheetName val="타사비교(13년)"/>
      <sheetName val="PL"/>
      <sheetName val="산자사 운전용품"/>
      <sheetName val="1-최종안"/>
      <sheetName val="사업분석-분양가결정"/>
      <sheetName val="▶제조"/>
      <sheetName val="▶판매관련"/>
      <sheetName val="산자강선PU(배부후)"/>
      <sheetName val="1.분배비율 조정 案"/>
      <sheetName val="Ölçüleri"/>
      <sheetName val="PRICAT99"/>
      <sheetName val="생산계획"/>
      <sheetName val="세금"/>
      <sheetName val="지급"/>
      <sheetName val="차량"/>
      <sheetName val="도서"/>
      <sheetName val="임차"/>
      <sheetName val="매출이익_(년간1002)"/>
      <sheetName val="1_3_1_조정명세_년간"/>
      <sheetName val="1_3_2_조정명세_월별"/>
      <sheetName val="1_3_3_조정명세_03추정"/>
      <sheetName val="1_관리_연도"/>
      <sheetName val="1_1_1_관리_년간"/>
      <sheetName val="1_1_2_관리_월별"/>
      <sheetName val="1_1_3_관리_03추정"/>
      <sheetName val="1_2_1_재무_년간"/>
      <sheetName val="1_2_2_재무_월별"/>
      <sheetName val="1_2_3_재무_03추정"/>
      <sheetName val="1_4_사내판매"/>
      <sheetName val="1_5_대손충당금"/>
      <sheetName val="2_1_1_EV연간"/>
      <sheetName val="2_1_2_EV월별"/>
      <sheetName val="2_2_1_ROIC년간_(2)"/>
      <sheetName val="2_2_2_ROIC월별_(2)"/>
      <sheetName val="2_3_1_BEP"/>
      <sheetName val="2_3_2_BEP_보조"/>
      <sheetName val="3_1_1_제조비용년간"/>
      <sheetName val="3_1_2_제조비용월별"/>
      <sheetName val="3_1_3_매출원가"/>
      <sheetName val="3_1_4_표준원가_사업장별"/>
      <sheetName val="3_1_5_표준원가_규격별"/>
      <sheetName val="3_2_1_판관비년간"/>
      <sheetName val="3_2_2_판관비월별"/>
      <sheetName val="3_2_3_판관비년간상세"/>
      <sheetName val="3_2_4_판관비월별상세"/>
      <sheetName val="3_3_1_영외수지년간"/>
      <sheetName val="3_3_2_영외수지월별"/>
      <sheetName val="4_1_1_전년투자실적"/>
      <sheetName val="4_1_2_투자년도"/>
      <sheetName val="4_1_3_투자월별"/>
      <sheetName val="4_1_4_투자실적년도"/>
      <sheetName val="4_2_1_투하연도"/>
      <sheetName val="4_2_2_평균투하연도"/>
      <sheetName val="4_2_3_투하월별"/>
      <sheetName val="4_2_4_투하실적_99"/>
      <sheetName val="4_2_4_투하실적_00"/>
      <sheetName val="4_2_4_투하실적_01"/>
      <sheetName val="4_2_4_투하실적_02"/>
      <sheetName val="4_2_4_투하계획_03"/>
      <sheetName val="4_2_4_투하추정_03"/>
      <sheetName val="4_2_5_유산스진행"/>
      <sheetName val="4_2_6_유전스조정"/>
      <sheetName val="4_2_7_유전스조정_03추정"/>
      <sheetName val="4_3_여신"/>
      <sheetName val="4_4_재고"/>
      <sheetName val="5_1_현금흐름실적_연도"/>
      <sheetName val="5_2_현금흐름계획연도"/>
      <sheetName val="5_3_현금흐름월별"/>
      <sheetName val="5_4_현금흐름실적_99"/>
      <sheetName val="5_4_현금흐름실적_00"/>
      <sheetName val="5_4_현금흐름실적_01"/>
      <sheetName val="5_4_현금흐름실적_02"/>
      <sheetName val="5_4_현금흐름계획_03"/>
      <sheetName val="5_4_현금흐름추정_03"/>
      <sheetName val="6_1_주요경영지수"/>
      <sheetName val="6_1_주요경영지수월별"/>
      <sheetName val="6_1_1_수주"/>
      <sheetName val="6_1_2_수주월별"/>
      <sheetName val="6_2_1_생산량"/>
      <sheetName val="6_2_2_생산량월별"/>
      <sheetName val="6_2_3_생산"/>
      <sheetName val="6_2_4_생산월별"/>
      <sheetName val="6_3_1_판매량"/>
      <sheetName val="6_3_2_판매량월별"/>
      <sheetName val="6_4_1_판매금액"/>
      <sheetName val="6_4_2_판매금액월별"/>
      <sheetName val="6_5_1_시장별매출"/>
      <sheetName val="6_5_2_시장별매출월별"/>
      <sheetName val="6_5_3_시장별판매량"/>
      <sheetName val="6_5_4_시장별판매량월별"/>
      <sheetName val="6_5_5_수출"/>
      <sheetName val="6_5_6_시장별원부재료구매계획"/>
      <sheetName val="6_5_7_시장별원부재료구매월별"/>
      <sheetName val="6_5_8_외화표시"/>
      <sheetName val="6_6_관리지수"/>
      <sheetName val="7_1_인원"/>
      <sheetName val="7_2_1_인건비직접"/>
      <sheetName val="7_2_2_간접포함인건비"/>
      <sheetName val="7_3_공수"/>
      <sheetName val="11고객별_담당자"/>
      <sheetName val="OPT손익_내수"/>
      <sheetName val="OPT손익_수출"/>
      <sheetName val="db_(don't_touch)"/>
      <sheetName val="프리미엄전동기_TFT"/>
      <sheetName val="SPG_TFT(구_LST-Ⅱ_TFT)"/>
      <sheetName val="GBOX_생산TFT"/>
      <sheetName val="2010년_매출_계획"/>
      <sheetName val="판매량"/>
      <sheetName val="총매출액"/>
      <sheetName val="총무"/>
      <sheetName val="직급실적"/>
      <sheetName val="DEV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손익총괄"/>
      <sheetName val="DATA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판매"/>
      <sheetName val="Sheet2"/>
      <sheetName val="06AA판매"/>
      <sheetName val="06제품별수익성"/>
      <sheetName val="6월시장별제품별판매"/>
      <sheetName val="06피벗"/>
      <sheetName val="06DATA"/>
      <sheetName val="06EBIT"/>
      <sheetName val="06EBIT값"/>
      <sheetName val="06고객별 담당자"/>
      <sheetName val="Sheet1"/>
      <sheetName val="06SG&amp;A"/>
      <sheetName val="07제품별수익성"/>
      <sheetName val="태광"/>
      <sheetName val="#REF"/>
      <sheetName val="용연"/>
      <sheetName val="울산"/>
      <sheetName val="진천"/>
      <sheetName val="구미"/>
      <sheetName val="대구"/>
      <sheetName val="언양"/>
      <sheetName val="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천"/>
      <sheetName val="중연"/>
      <sheetName val="교수설계"/>
      <sheetName val="Sheet1"/>
      <sheetName val="직급실적"/>
      <sheetName val="진천공수"/>
      <sheetName val="구미"/>
      <sheetName val="1급갑"/>
      <sheetName val="용연"/>
      <sheetName val="FAB4생산"/>
      <sheetName val="생산량"/>
      <sheetName val="울산"/>
      <sheetName val="인상안"/>
      <sheetName val="Base"/>
      <sheetName val="Macro1"/>
      <sheetName val="구미2월"/>
      <sheetName val="안양2월"/>
      <sheetName val="2-2.매출분석"/>
      <sheetName val="Ölçüleri"/>
      <sheetName val="언양"/>
      <sheetName val="2_2_2.ROIC월별"/>
      <sheetName val="SparePartContractualBase"/>
      <sheetName val="타사비교(13년)"/>
      <sheetName val="T&amp;C"/>
      <sheetName val="대구"/>
      <sheetName val="#REF"/>
      <sheetName val="광주"/>
      <sheetName val="손익총괄"/>
      <sheetName val="기초데이타"/>
      <sheetName val="시산표"/>
      <sheetName val="1-12월"/>
      <sheetName val="Macro"/>
      <sheetName val="薬品リスト"/>
      <sheetName val="FA-LISTING"/>
      <sheetName val="DATA"/>
      <sheetName val="04고객별 담당자"/>
      <sheetName val="Ctrl"/>
      <sheetName val="#REF!"/>
    </sheetNames>
    <sheetDataSet>
      <sheetData sheetId="0" refreshError="1">
        <row r="10">
          <cell r="I10">
            <v>320</v>
          </cell>
          <cell r="J10">
            <v>320</v>
          </cell>
          <cell r="K10">
            <v>320</v>
          </cell>
        </row>
        <row r="11">
          <cell r="I11">
            <v>54.7</v>
          </cell>
          <cell r="J11">
            <v>54.7</v>
          </cell>
          <cell r="K11">
            <v>54.7</v>
          </cell>
        </row>
        <row r="12">
          <cell r="I12">
            <v>17504</v>
          </cell>
          <cell r="J12">
            <v>17504</v>
          </cell>
          <cell r="K12">
            <v>17504</v>
          </cell>
        </row>
        <row r="13">
          <cell r="I13">
            <v>105736</v>
          </cell>
          <cell r="J13">
            <v>105736</v>
          </cell>
          <cell r="K13">
            <v>105736</v>
          </cell>
        </row>
        <row r="14">
          <cell r="I14">
            <v>6.0406764168190126</v>
          </cell>
          <cell r="J14">
            <v>6.0406764168190126</v>
          </cell>
          <cell r="K14">
            <v>6.0406764168190126</v>
          </cell>
        </row>
        <row r="15">
          <cell r="I15">
            <v>160</v>
          </cell>
          <cell r="J15">
            <v>160</v>
          </cell>
          <cell r="K15">
            <v>160</v>
          </cell>
        </row>
        <row r="16">
          <cell r="I16">
            <v>54.725000000000001</v>
          </cell>
          <cell r="J16">
            <v>54.725000000000001</v>
          </cell>
          <cell r="K16">
            <v>54.725000000000001</v>
          </cell>
        </row>
        <row r="17">
          <cell r="I17">
            <v>8756</v>
          </cell>
          <cell r="J17">
            <v>8756</v>
          </cell>
          <cell r="K17">
            <v>8756</v>
          </cell>
        </row>
        <row r="18">
          <cell r="I18">
            <v>48</v>
          </cell>
          <cell r="J18">
            <v>48</v>
          </cell>
          <cell r="K18">
            <v>48</v>
          </cell>
        </row>
        <row r="19">
          <cell r="I19">
            <v>45</v>
          </cell>
          <cell r="J19">
            <v>45</v>
          </cell>
          <cell r="K19">
            <v>45</v>
          </cell>
        </row>
        <row r="20">
          <cell r="I20">
            <v>2160</v>
          </cell>
          <cell r="J20">
            <v>2160</v>
          </cell>
          <cell r="K20">
            <v>2160</v>
          </cell>
        </row>
        <row r="21">
          <cell r="I21">
            <v>208</v>
          </cell>
          <cell r="J21">
            <v>208</v>
          </cell>
          <cell r="K21">
            <v>208</v>
          </cell>
        </row>
        <row r="22">
          <cell r="I22">
            <v>52.480769230769234</v>
          </cell>
          <cell r="J22">
            <v>52.480769230769234</v>
          </cell>
          <cell r="K22">
            <v>52.480769230769234</v>
          </cell>
        </row>
        <row r="23">
          <cell r="I23">
            <v>10916</v>
          </cell>
          <cell r="J23">
            <v>10916</v>
          </cell>
          <cell r="K23">
            <v>10916</v>
          </cell>
        </row>
        <row r="38">
          <cell r="I38">
            <v>528</v>
          </cell>
          <cell r="J38">
            <v>528</v>
          </cell>
          <cell r="K38">
            <v>528</v>
          </cell>
        </row>
        <row r="39">
          <cell r="I39">
            <v>53.825757575757578</v>
          </cell>
          <cell r="J39">
            <v>53.825757575757578</v>
          </cell>
          <cell r="K39">
            <v>53.825757575757578</v>
          </cell>
        </row>
        <row r="40">
          <cell r="I40">
            <v>28420</v>
          </cell>
          <cell r="J40">
            <v>28420</v>
          </cell>
          <cell r="K40">
            <v>28420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연"/>
      <sheetName val="언양"/>
      <sheetName val="본사인상전"/>
      <sheetName val="진천"/>
      <sheetName val="1.외주공사"/>
      <sheetName val="2.직영공사"/>
      <sheetName val="TNC(1안)"/>
      <sheetName val="환율change"/>
      <sheetName val="411-00 외화장기"/>
      <sheetName val="건설가"/>
      <sheetName val="TNC"/>
      <sheetName val="손익총괄"/>
      <sheetName val="월별손익"/>
      <sheetName val="비용"/>
      <sheetName val="1급갑"/>
      <sheetName val="용연공수"/>
      <sheetName val="Macro"/>
      <sheetName val="표지"/>
      <sheetName val="LOG"/>
      <sheetName val="Base"/>
      <sheetName val="광주"/>
      <sheetName val="INFORM"/>
      <sheetName val="대구"/>
      <sheetName val="울산"/>
      <sheetName val="#REF"/>
      <sheetName val="구미"/>
      <sheetName val="중연"/>
      <sheetName val="Macro1"/>
      <sheetName val="타사비교(13년)"/>
      <sheetName val="BM_NEW2"/>
      <sheetName val="11고객별 담당자"/>
      <sheetName val="T&amp;C"/>
      <sheetName val="MS"/>
      <sheetName val="요약"/>
      <sheetName val="FA-LISTING"/>
      <sheetName val="1_03수익성대비표"/>
      <sheetName val="#REF!"/>
    </sheetNames>
    <sheetDataSet>
      <sheetData sheetId="0" refreshError="1">
        <row r="10">
          <cell r="I10">
            <v>19</v>
          </cell>
          <cell r="J10">
            <v>21</v>
          </cell>
          <cell r="K10">
            <v>21</v>
          </cell>
        </row>
        <row r="11">
          <cell r="I11">
            <v>46.842105263157897</v>
          </cell>
          <cell r="J11" t="e">
            <v>#VALUE!</v>
          </cell>
          <cell r="K11" t="e">
            <v>#VALUE!</v>
          </cell>
        </row>
        <row r="12">
          <cell r="I12">
            <v>890</v>
          </cell>
          <cell r="J12" t="e">
            <v>#VALUE!</v>
          </cell>
          <cell r="K12" t="e">
            <v>#VALUE!</v>
          </cell>
        </row>
        <row r="13">
          <cell r="I13">
            <v>11051</v>
          </cell>
          <cell r="J13">
            <v>14850</v>
          </cell>
          <cell r="K13">
            <v>6589</v>
          </cell>
        </row>
        <row r="14">
          <cell r="I14">
            <v>12.416853932584269</v>
          </cell>
          <cell r="J14" t="e">
            <v>#VALUE!</v>
          </cell>
          <cell r="K14" t="e">
            <v>#VALUE!</v>
          </cell>
        </row>
        <row r="15">
          <cell r="I15">
            <v>18</v>
          </cell>
          <cell r="J15">
            <v>18</v>
          </cell>
          <cell r="K15">
            <v>18</v>
          </cell>
        </row>
        <row r="16">
          <cell r="I16">
            <v>49.333333333333336</v>
          </cell>
          <cell r="J16" t="e">
            <v>#VALUE!</v>
          </cell>
          <cell r="K16" t="e">
            <v>#VALUE!</v>
          </cell>
        </row>
        <row r="17">
          <cell r="I17">
            <v>888</v>
          </cell>
          <cell r="J17" t="e">
            <v>#VALUE!</v>
          </cell>
          <cell r="K17" t="e">
            <v>#VALUE!</v>
          </cell>
        </row>
        <row r="18">
          <cell r="I18">
            <v>9779</v>
          </cell>
          <cell r="J18">
            <v>9900</v>
          </cell>
          <cell r="K18">
            <v>9904</v>
          </cell>
        </row>
        <row r="19">
          <cell r="I19">
            <v>11.012387387387387</v>
          </cell>
          <cell r="J19" t="e">
            <v>#VALUE!</v>
          </cell>
          <cell r="K19" t="e">
            <v>#VALUE!</v>
          </cell>
        </row>
        <row r="20">
          <cell r="I20">
            <v>11</v>
          </cell>
          <cell r="J20">
            <v>10</v>
          </cell>
          <cell r="K20">
            <v>0</v>
          </cell>
        </row>
        <row r="21">
          <cell r="I21">
            <v>38.909090909090907</v>
          </cell>
          <cell r="J21">
            <v>40</v>
          </cell>
          <cell r="K21" t="e">
            <v>#DIV/0!</v>
          </cell>
        </row>
        <row r="22">
          <cell r="I22">
            <v>428</v>
          </cell>
          <cell r="J22">
            <v>400</v>
          </cell>
          <cell r="K22">
            <v>0</v>
          </cell>
        </row>
        <row r="23">
          <cell r="I23">
            <v>3</v>
          </cell>
          <cell r="J23">
            <v>3</v>
          </cell>
          <cell r="K23">
            <v>3</v>
          </cell>
        </row>
        <row r="24">
          <cell r="I24">
            <v>46</v>
          </cell>
          <cell r="J24">
            <v>46.333333333333336</v>
          </cell>
          <cell r="K24">
            <v>49.333333333333336</v>
          </cell>
        </row>
        <row r="25">
          <cell r="I25">
            <v>138</v>
          </cell>
          <cell r="J25">
            <v>139</v>
          </cell>
          <cell r="K25">
            <v>148</v>
          </cell>
        </row>
        <row r="26">
          <cell r="I26">
            <v>6</v>
          </cell>
          <cell r="J26">
            <v>3</v>
          </cell>
          <cell r="K26" t="e">
            <v>#VALUE!</v>
          </cell>
        </row>
        <row r="27">
          <cell r="I27">
            <v>45.333333333333336</v>
          </cell>
          <cell r="J27">
            <v>48</v>
          </cell>
          <cell r="K27" t="e">
            <v>#VALUE!</v>
          </cell>
        </row>
        <row r="28">
          <cell r="I28">
            <v>272</v>
          </cell>
          <cell r="J28">
            <v>144</v>
          </cell>
          <cell r="K28">
            <v>152</v>
          </cell>
        </row>
        <row r="29">
          <cell r="I29">
            <v>12</v>
          </cell>
          <cell r="J29">
            <v>12</v>
          </cell>
          <cell r="K29">
            <v>12</v>
          </cell>
        </row>
        <row r="30">
          <cell r="I30">
            <v>44.166666666666664</v>
          </cell>
          <cell r="J30">
            <v>44.166666666666664</v>
          </cell>
          <cell r="K30">
            <v>44.833333333333336</v>
          </cell>
        </row>
        <row r="31">
          <cell r="I31">
            <v>530</v>
          </cell>
          <cell r="J31">
            <v>530</v>
          </cell>
          <cell r="K31">
            <v>538</v>
          </cell>
        </row>
        <row r="32">
          <cell r="I32">
            <v>18</v>
          </cell>
          <cell r="J32">
            <v>18</v>
          </cell>
          <cell r="K32">
            <v>18</v>
          </cell>
        </row>
        <row r="33">
          <cell r="I33">
            <v>49.444444444444443</v>
          </cell>
          <cell r="J33">
            <v>43.666666666666664</v>
          </cell>
          <cell r="K33">
            <v>48.722222222222221</v>
          </cell>
        </row>
        <row r="34">
          <cell r="I34">
            <v>890</v>
          </cell>
          <cell r="J34">
            <v>786</v>
          </cell>
          <cell r="K34">
            <v>877</v>
          </cell>
        </row>
        <row r="35">
          <cell r="I35">
            <v>7</v>
          </cell>
          <cell r="J35">
            <v>7</v>
          </cell>
          <cell r="K35">
            <v>7</v>
          </cell>
        </row>
        <row r="36">
          <cell r="I36">
            <v>52</v>
          </cell>
          <cell r="J36">
            <v>42.857142857142854</v>
          </cell>
          <cell r="K36">
            <v>44.428571428571431</v>
          </cell>
        </row>
        <row r="37">
          <cell r="I37">
            <v>364</v>
          </cell>
          <cell r="J37">
            <v>300</v>
          </cell>
          <cell r="K37">
            <v>311</v>
          </cell>
        </row>
        <row r="38">
          <cell r="I38">
            <v>46</v>
          </cell>
          <cell r="J38">
            <v>43</v>
          </cell>
          <cell r="K38">
            <v>43</v>
          </cell>
        </row>
        <row r="39">
          <cell r="I39">
            <v>47.695652173913047</v>
          </cell>
          <cell r="J39">
            <v>44.162790697674417</v>
          </cell>
          <cell r="K39">
            <v>47.116279069767444</v>
          </cell>
        </row>
        <row r="40">
          <cell r="I40">
            <v>2194</v>
          </cell>
          <cell r="J40">
            <v>1899</v>
          </cell>
          <cell r="K40">
            <v>2026</v>
          </cell>
        </row>
        <row r="41">
          <cell r="I41">
            <v>94</v>
          </cell>
          <cell r="J41">
            <v>92</v>
          </cell>
          <cell r="K41">
            <v>82</v>
          </cell>
        </row>
        <row r="42">
          <cell r="I42">
            <v>46.808510638297875</v>
          </cell>
          <cell r="J42" t="e">
            <v>#VALUE!</v>
          </cell>
          <cell r="K42" t="e">
            <v>#VALUE!</v>
          </cell>
        </row>
        <row r="43">
          <cell r="I43">
            <v>4400</v>
          </cell>
          <cell r="J43" t="e">
            <v>#VALUE!</v>
          </cell>
          <cell r="K43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연"/>
      <sheetName val="울산"/>
      <sheetName val="JUYO"/>
      <sheetName val="용연"/>
      <sheetName val="생산량"/>
      <sheetName val="현금예금"/>
      <sheetName val="가격표"/>
      <sheetName val="04고객별 담당자"/>
      <sheetName val="구미2월"/>
      <sheetName val="안양2월"/>
      <sheetName val="부"/>
      <sheetName val="본사재고"/>
      <sheetName val="93상각비"/>
      <sheetName val="Macro"/>
      <sheetName val="제조비용"/>
      <sheetName val="대구"/>
      <sheetName val="구미"/>
      <sheetName val="광주"/>
      <sheetName val="언양"/>
      <sheetName val="진천"/>
      <sheetName val="주요사종참조"/>
      <sheetName val="controll"/>
      <sheetName val="인건비"/>
      <sheetName val="연구실적"/>
      <sheetName val="INFORM"/>
      <sheetName val="기초데이타"/>
      <sheetName val="비용"/>
      <sheetName val="인상효1"/>
      <sheetName val="경영비율 "/>
      <sheetName val="주소"/>
      <sheetName val="간접비 총괄표"/>
      <sheetName val="교수설계"/>
    </sheetNames>
    <sheetDataSet>
      <sheetData sheetId="0" refreshError="1">
        <row r="10">
          <cell r="I10">
            <v>20</v>
          </cell>
          <cell r="J10">
            <v>19</v>
          </cell>
          <cell r="K10">
            <v>18</v>
          </cell>
        </row>
        <row r="11">
          <cell r="I11">
            <v>45.75</v>
          </cell>
          <cell r="J11">
            <v>44.789473684210527</v>
          </cell>
          <cell r="K11">
            <v>45.388888888888886</v>
          </cell>
        </row>
        <row r="12">
          <cell r="I12">
            <v>915</v>
          </cell>
          <cell r="J12">
            <v>851</v>
          </cell>
          <cell r="K12">
            <v>817</v>
          </cell>
        </row>
        <row r="13">
          <cell r="I13">
            <v>6</v>
          </cell>
          <cell r="J13">
            <v>6</v>
          </cell>
          <cell r="K13">
            <v>5</v>
          </cell>
        </row>
        <row r="14">
          <cell r="I14">
            <v>39.5</v>
          </cell>
          <cell r="J14">
            <v>41</v>
          </cell>
          <cell r="K14">
            <v>36.6</v>
          </cell>
        </row>
        <row r="15">
          <cell r="I15">
            <v>237</v>
          </cell>
          <cell r="J15">
            <v>246</v>
          </cell>
          <cell r="K15">
            <v>183</v>
          </cell>
        </row>
        <row r="16">
          <cell r="I16">
            <v>15</v>
          </cell>
          <cell r="J16">
            <v>7</v>
          </cell>
          <cell r="K16">
            <v>8</v>
          </cell>
        </row>
        <row r="17">
          <cell r="I17">
            <v>44.6</v>
          </cell>
          <cell r="J17">
            <v>45.285714285714285</v>
          </cell>
          <cell r="K17">
            <v>41.5</v>
          </cell>
        </row>
        <row r="18">
          <cell r="I18">
            <v>669</v>
          </cell>
          <cell r="J18">
            <v>317</v>
          </cell>
          <cell r="K18">
            <v>332</v>
          </cell>
        </row>
        <row r="19">
          <cell r="I19">
            <v>12</v>
          </cell>
          <cell r="J19">
            <v>12</v>
          </cell>
          <cell r="K19">
            <v>11</v>
          </cell>
        </row>
        <row r="20">
          <cell r="I20">
            <v>40</v>
          </cell>
          <cell r="J20">
            <v>40.583333333333336</v>
          </cell>
          <cell r="K20">
            <v>39.81818181818182</v>
          </cell>
        </row>
        <row r="21">
          <cell r="I21">
            <v>480</v>
          </cell>
          <cell r="J21">
            <v>487</v>
          </cell>
          <cell r="K21">
            <v>438</v>
          </cell>
        </row>
        <row r="22">
          <cell r="K22">
            <v>1</v>
          </cell>
        </row>
        <row r="23">
          <cell r="K23">
            <v>44</v>
          </cell>
        </row>
        <row r="24">
          <cell r="K24">
            <v>44</v>
          </cell>
        </row>
        <row r="40">
          <cell r="I40">
            <v>53</v>
          </cell>
          <cell r="J40">
            <v>44</v>
          </cell>
          <cell r="K40">
            <v>43</v>
          </cell>
        </row>
        <row r="41">
          <cell r="I41">
            <v>43.415094339622641</v>
          </cell>
          <cell r="J41">
            <v>43.204545454545453</v>
          </cell>
          <cell r="K41">
            <v>42.186046511627907</v>
          </cell>
        </row>
        <row r="42">
          <cell r="I42">
            <v>2301</v>
          </cell>
          <cell r="J42">
            <v>1901</v>
          </cell>
          <cell r="K42">
            <v>1814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광주"/>
      <sheetName val="계정별"/>
      <sheetName val="이전비용"/>
      <sheetName val="01예상실적(1안)"/>
      <sheetName val="01예상실적(2안)"/>
      <sheetName val="01예상실적(통합)"/>
      <sheetName val="임금분석"/>
      <sheetName val="교통비"/>
      <sheetName val="예상임금기준"/>
      <sheetName val="예상임금총액"/>
      <sheetName val="01임금계획"/>
      <sheetName val="실적"/>
      <sheetName val="Sheet1"/>
      <sheetName val="**_x0000__x0000_"/>
      <sheetName val="손익월별"/>
      <sheetName val="재무월별"/>
      <sheetName val="인별계획"/>
      <sheetName val="수입월별"/>
      <sheetName val="수출월별"/>
      <sheetName val="기타월별"/>
      <sheetName val="기타수수료"/>
      <sheetName val="TC 11月 AC"/>
      <sheetName val="Sheet3"/>
      <sheetName val="대구"/>
      <sheetName val="용연"/>
      <sheetName val="울산"/>
      <sheetName val="#REF"/>
      <sheetName val="구미"/>
      <sheetName val="언양"/>
      <sheetName val="진천"/>
      <sheetName val="중연"/>
      <sheetName val="▶판매관련"/>
      <sheetName val="▶제조"/>
      <sheetName val="__"/>
      <sheetName val="JUYO"/>
      <sheetName val="일반정보"/>
      <sheetName val="Base"/>
      <sheetName val="▶판매량Trend(수정안)"/>
      <sheetName val="▶판가Trend(수정안)"/>
      <sheetName val="1_05고객별 담당자"/>
      <sheetName val="1_05수익성대비표"/>
      <sheetName val="FAB별"/>
      <sheetName val="**??"/>
      <sheetName val="Beforesyy"/>
      <sheetName val="EXPENSE"/>
      <sheetName val="____"/>
      <sheetName val="고합"/>
      <sheetName val="요약"/>
      <sheetName val="광주공수"/>
      <sheetName val="10고객별 담당자"/>
      <sheetName val="공수관리"/>
      <sheetName val="작업지시"/>
      <sheetName val="Macro"/>
      <sheetName val="HD01"/>
      <sheetName val="매출매입"/>
      <sheetName val="**_x005f_x0000__x005f_x0000_"/>
      <sheetName val="**_x005f_x005f_x005f_x0000__x005f_x005f_x005f_x0000_"/>
      <sheetName val="___x005f_x0000__x005f_x0000_"/>
      <sheetName val="___x005f_x005f_x005f_x0000__x005f_x005f_x005f_x0000_"/>
      <sheetName val="#REF!"/>
      <sheetName val="8호기TEST"/>
      <sheetName val="WORK"/>
      <sheetName val="2010년판매손익"/>
      <sheetName val="2010년 실적"/>
    </sheetNames>
    <sheetDataSet>
      <sheetData sheetId="0" refreshError="1">
        <row r="10">
          <cell r="I10">
            <v>16</v>
          </cell>
          <cell r="J10">
            <v>15</v>
          </cell>
          <cell r="K10">
            <v>15</v>
          </cell>
        </row>
        <row r="11">
          <cell r="I11">
            <v>46.25</v>
          </cell>
          <cell r="J11" t="e">
            <v>#VALUE!</v>
          </cell>
          <cell r="K11">
            <v>48.266666666666666</v>
          </cell>
        </row>
        <row r="12">
          <cell r="I12">
            <v>740</v>
          </cell>
          <cell r="J12" t="e">
            <v>#VALUE!</v>
          </cell>
          <cell r="K12">
            <v>724</v>
          </cell>
        </row>
        <row r="13">
          <cell r="I13">
            <v>2840</v>
          </cell>
          <cell r="J13">
            <v>2650</v>
          </cell>
          <cell r="K13">
            <v>2660</v>
          </cell>
        </row>
        <row r="14">
          <cell r="I14">
            <v>3.8378378378378377</v>
          </cell>
          <cell r="J14" t="e">
            <v>#VALUE!</v>
          </cell>
          <cell r="K14">
            <v>3.6740331491712706</v>
          </cell>
        </row>
        <row r="15">
          <cell r="I15">
            <v>2</v>
          </cell>
          <cell r="J15">
            <v>2</v>
          </cell>
          <cell r="K15">
            <v>2</v>
          </cell>
        </row>
        <row r="16">
          <cell r="I16">
            <v>44.5</v>
          </cell>
          <cell r="J16">
            <v>44.5</v>
          </cell>
          <cell r="K16">
            <v>43.5</v>
          </cell>
        </row>
        <row r="17">
          <cell r="I17">
            <v>89</v>
          </cell>
          <cell r="J17">
            <v>89</v>
          </cell>
          <cell r="K17">
            <v>87</v>
          </cell>
        </row>
        <row r="38">
          <cell r="I38">
            <v>18</v>
          </cell>
          <cell r="J38">
            <v>17</v>
          </cell>
          <cell r="K38">
            <v>17</v>
          </cell>
        </row>
        <row r="39">
          <cell r="I39">
            <v>46.055555555555557</v>
          </cell>
          <cell r="J39" t="e">
            <v>#VALUE!</v>
          </cell>
          <cell r="K39" t="e">
            <v>#VALUE!</v>
          </cell>
        </row>
        <row r="40">
          <cell r="I40">
            <v>829</v>
          </cell>
          <cell r="J40" t="e">
            <v>#VALUE!</v>
          </cell>
          <cell r="K40" t="e">
            <v>#VALUE!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용연"/>
      <sheetName val="중연"/>
      <sheetName val="참고내역"/>
      <sheetName val="광주"/>
      <sheetName val="1.외주공사"/>
      <sheetName val="2.직영공사"/>
      <sheetName val="보정사항"/>
      <sheetName val="진천"/>
      <sheetName val="TNC"/>
      <sheetName val="언양"/>
      <sheetName val="본사인상전"/>
      <sheetName val="서식시트"/>
      <sheetName val="1_06고객별 담당자"/>
      <sheetName val="1_05고객별 담당자"/>
      <sheetName val="1_05수익성대비표"/>
      <sheetName val="10고객별 담당자"/>
      <sheetName val="비용"/>
    </sheetNames>
    <sheetDataSet>
      <sheetData sheetId="0" refreshError="1">
        <row r="10">
          <cell r="I10">
            <v>460</v>
          </cell>
          <cell r="J10">
            <v>460</v>
          </cell>
          <cell r="K10">
            <v>460</v>
          </cell>
        </row>
        <row r="11">
          <cell r="I11">
            <v>49.504347826086956</v>
          </cell>
          <cell r="J11">
            <v>49.504347826086956</v>
          </cell>
          <cell r="K11">
            <v>49.504347826086956</v>
          </cell>
        </row>
        <row r="12">
          <cell r="I12">
            <v>22772</v>
          </cell>
          <cell r="J12">
            <v>22772</v>
          </cell>
          <cell r="K12">
            <v>22772</v>
          </cell>
        </row>
        <row r="13">
          <cell r="I13">
            <v>332</v>
          </cell>
          <cell r="J13">
            <v>332</v>
          </cell>
          <cell r="K13">
            <v>332</v>
          </cell>
        </row>
        <row r="14">
          <cell r="I14">
            <v>48.120481927710841</v>
          </cell>
          <cell r="J14">
            <v>48.120481927710841</v>
          </cell>
          <cell r="K14">
            <v>48.120481927710841</v>
          </cell>
        </row>
        <row r="15">
          <cell r="I15">
            <v>15976</v>
          </cell>
          <cell r="J15">
            <v>15976</v>
          </cell>
          <cell r="K15">
            <v>15976</v>
          </cell>
        </row>
        <row r="16">
          <cell r="I16">
            <v>468</v>
          </cell>
          <cell r="J16">
            <v>468</v>
          </cell>
          <cell r="K16">
            <v>468</v>
          </cell>
        </row>
        <row r="17">
          <cell r="I17">
            <v>47.991452991452988</v>
          </cell>
          <cell r="J17">
            <v>47.991452991452988</v>
          </cell>
          <cell r="K17">
            <v>47.991452991452988</v>
          </cell>
        </row>
        <row r="18">
          <cell r="I18">
            <v>22460</v>
          </cell>
          <cell r="J18">
            <v>22460</v>
          </cell>
          <cell r="K18">
            <v>22460</v>
          </cell>
        </row>
        <row r="19">
          <cell r="I19">
            <v>608</v>
          </cell>
          <cell r="J19">
            <v>608</v>
          </cell>
          <cell r="K19">
            <v>608</v>
          </cell>
        </row>
        <row r="20">
          <cell r="I20">
            <v>47.460526315789473</v>
          </cell>
          <cell r="J20">
            <v>47.460526315789473</v>
          </cell>
          <cell r="K20">
            <v>47.460526315789473</v>
          </cell>
        </row>
        <row r="21">
          <cell r="I21">
            <v>28856</v>
          </cell>
          <cell r="J21">
            <v>28856</v>
          </cell>
          <cell r="K21">
            <v>28856</v>
          </cell>
        </row>
        <row r="22">
          <cell r="I22">
            <v>720</v>
          </cell>
          <cell r="J22">
            <v>720</v>
          </cell>
          <cell r="K22">
            <v>720</v>
          </cell>
        </row>
        <row r="23">
          <cell r="I23">
            <v>46.288888888888891</v>
          </cell>
          <cell r="J23">
            <v>46.288888888888891</v>
          </cell>
          <cell r="K23">
            <v>46.288888888888891</v>
          </cell>
        </row>
        <row r="24">
          <cell r="I24">
            <v>33328</v>
          </cell>
          <cell r="J24">
            <v>33328</v>
          </cell>
          <cell r="K24">
            <v>33328</v>
          </cell>
        </row>
        <row r="25">
          <cell r="I25">
            <v>2588</v>
          </cell>
          <cell r="J25">
            <v>2588</v>
          </cell>
          <cell r="K25">
            <v>2588</v>
          </cell>
        </row>
        <row r="26">
          <cell r="I26">
            <v>47.678516228748066</v>
          </cell>
          <cell r="J26">
            <v>47.678516228748066</v>
          </cell>
          <cell r="K26">
            <v>47.678516228748066</v>
          </cell>
        </row>
        <row r="27">
          <cell r="I27">
            <v>123392</v>
          </cell>
          <cell r="J27">
            <v>123392</v>
          </cell>
          <cell r="K27">
            <v>123392</v>
          </cell>
        </row>
        <row r="28">
          <cell r="I28">
            <v>42776</v>
          </cell>
          <cell r="J28">
            <v>42776</v>
          </cell>
          <cell r="K28">
            <v>42776</v>
          </cell>
        </row>
        <row r="29">
          <cell r="I29">
            <v>0.34666753112033194</v>
          </cell>
          <cell r="J29">
            <v>0.34666753112033194</v>
          </cell>
          <cell r="K29">
            <v>0.34666753112033194</v>
          </cell>
        </row>
        <row r="30">
          <cell r="I30">
            <v>316</v>
          </cell>
          <cell r="J30">
            <v>316</v>
          </cell>
          <cell r="K30">
            <v>316</v>
          </cell>
        </row>
        <row r="31">
          <cell r="I31">
            <v>48.784810126582279</v>
          </cell>
          <cell r="J31">
            <v>48.784810126582279</v>
          </cell>
          <cell r="K31">
            <v>48.784810126582279</v>
          </cell>
        </row>
        <row r="32">
          <cell r="I32">
            <v>15416</v>
          </cell>
          <cell r="J32">
            <v>15416</v>
          </cell>
          <cell r="K32">
            <v>15416</v>
          </cell>
        </row>
        <row r="33">
          <cell r="I33">
            <v>11472</v>
          </cell>
          <cell r="J33">
            <v>11472</v>
          </cell>
          <cell r="K33">
            <v>11472</v>
          </cell>
        </row>
        <row r="34">
          <cell r="I34">
            <v>0.74416190970420337</v>
          </cell>
          <cell r="J34">
            <v>0.74416190970420337</v>
          </cell>
          <cell r="K34">
            <v>0.74416190970420337</v>
          </cell>
        </row>
        <row r="35">
          <cell r="I35">
            <v>1176</v>
          </cell>
          <cell r="J35">
            <v>1176</v>
          </cell>
          <cell r="K35">
            <v>1176</v>
          </cell>
        </row>
        <row r="36">
          <cell r="I36">
            <v>45.751700680272108</v>
          </cell>
          <cell r="J36">
            <v>45.751700680272108</v>
          </cell>
          <cell r="K36">
            <v>45.751700680272108</v>
          </cell>
        </row>
        <row r="37">
          <cell r="I37">
            <v>53804</v>
          </cell>
          <cell r="J37">
            <v>53804</v>
          </cell>
          <cell r="K37">
            <v>53804</v>
          </cell>
        </row>
        <row r="38">
          <cell r="I38">
            <v>440</v>
          </cell>
          <cell r="J38">
            <v>440</v>
          </cell>
          <cell r="K38">
            <v>440</v>
          </cell>
        </row>
        <row r="39">
          <cell r="I39">
            <v>46.490909090909092</v>
          </cell>
          <cell r="J39">
            <v>46.490909090909092</v>
          </cell>
          <cell r="K39">
            <v>46.490909090909092</v>
          </cell>
        </row>
        <row r="40">
          <cell r="I40">
            <v>20456</v>
          </cell>
          <cell r="J40">
            <v>20456</v>
          </cell>
          <cell r="K40">
            <v>20456</v>
          </cell>
        </row>
        <row r="44">
          <cell r="J44" t="str">
            <v xml:space="preserve">  當</v>
          </cell>
        </row>
        <row r="45">
          <cell r="I45" t="str">
            <v xml:space="preserve"> 前年同期 </v>
          </cell>
          <cell r="J45" t="str">
            <v xml:space="preserve">    `95.</v>
          </cell>
        </row>
        <row r="46">
          <cell r="J46" t="str">
            <v xml:space="preserve"> 計  劃</v>
          </cell>
          <cell r="K46" t="str">
            <v xml:space="preserve"> 實  績</v>
          </cell>
        </row>
        <row r="47">
          <cell r="I47">
            <v>348</v>
          </cell>
          <cell r="J47">
            <v>348</v>
          </cell>
          <cell r="K47">
            <v>348</v>
          </cell>
        </row>
        <row r="48">
          <cell r="I48">
            <v>47.149425287356323</v>
          </cell>
          <cell r="J48">
            <v>47.149425287356323</v>
          </cell>
          <cell r="K48">
            <v>47.149425287356323</v>
          </cell>
        </row>
        <row r="49">
          <cell r="I49">
            <v>16408</v>
          </cell>
          <cell r="J49">
            <v>16408</v>
          </cell>
          <cell r="K49">
            <v>16408</v>
          </cell>
        </row>
        <row r="50">
          <cell r="I50">
            <v>1964</v>
          </cell>
          <cell r="J50">
            <v>1964</v>
          </cell>
          <cell r="K50">
            <v>1964</v>
          </cell>
        </row>
        <row r="51">
          <cell r="I51">
            <v>46.164969450101836</v>
          </cell>
          <cell r="J51">
            <v>46.164969450101836</v>
          </cell>
          <cell r="K51">
            <v>46.164969450101836</v>
          </cell>
        </row>
        <row r="52">
          <cell r="I52">
            <v>90668</v>
          </cell>
          <cell r="J52">
            <v>90668</v>
          </cell>
          <cell r="K52">
            <v>90668</v>
          </cell>
        </row>
        <row r="53">
          <cell r="I53">
            <v>15764</v>
          </cell>
          <cell r="J53">
            <v>15764</v>
          </cell>
          <cell r="K53">
            <v>15764</v>
          </cell>
        </row>
        <row r="54">
          <cell r="I54">
            <v>0.17386509021926147</v>
          </cell>
          <cell r="J54">
            <v>0.17386509021926147</v>
          </cell>
          <cell r="K54">
            <v>0.17386509021926147</v>
          </cell>
        </row>
        <row r="55">
          <cell r="I55">
            <v>80</v>
          </cell>
          <cell r="J55">
            <v>80</v>
          </cell>
          <cell r="K55">
            <v>80</v>
          </cell>
        </row>
        <row r="56">
          <cell r="I56">
            <v>42.4</v>
          </cell>
          <cell r="J56">
            <v>42.4</v>
          </cell>
          <cell r="K56">
            <v>42.4</v>
          </cell>
        </row>
        <row r="57">
          <cell r="I57">
            <v>3392</v>
          </cell>
          <cell r="J57">
            <v>3392</v>
          </cell>
          <cell r="K57">
            <v>3392</v>
          </cell>
        </row>
        <row r="58">
          <cell r="I58">
            <v>112</v>
          </cell>
          <cell r="J58">
            <v>112</v>
          </cell>
          <cell r="K58">
            <v>112</v>
          </cell>
        </row>
        <row r="59">
          <cell r="I59">
            <v>42.5</v>
          </cell>
          <cell r="J59">
            <v>42.5</v>
          </cell>
          <cell r="K59">
            <v>42.5</v>
          </cell>
        </row>
        <row r="60">
          <cell r="I60">
            <v>4760</v>
          </cell>
          <cell r="J60">
            <v>4760</v>
          </cell>
          <cell r="K60">
            <v>4760</v>
          </cell>
        </row>
        <row r="61">
          <cell r="I61">
            <v>192</v>
          </cell>
          <cell r="J61">
            <v>192</v>
          </cell>
          <cell r="K61">
            <v>192</v>
          </cell>
        </row>
        <row r="62">
          <cell r="I62">
            <v>42.458333333333336</v>
          </cell>
          <cell r="J62">
            <v>42.458333333333336</v>
          </cell>
          <cell r="K62">
            <v>42.458333333333336</v>
          </cell>
        </row>
        <row r="63">
          <cell r="I63">
            <v>8152</v>
          </cell>
          <cell r="J63">
            <v>8152</v>
          </cell>
          <cell r="K63">
            <v>8152</v>
          </cell>
        </row>
        <row r="64">
          <cell r="I64">
            <v>76</v>
          </cell>
          <cell r="J64">
            <v>76</v>
          </cell>
          <cell r="K64">
            <v>76</v>
          </cell>
        </row>
        <row r="65">
          <cell r="I65">
            <v>47.263157894736842</v>
          </cell>
          <cell r="J65">
            <v>47.263157894736842</v>
          </cell>
          <cell r="K65">
            <v>47.263157894736842</v>
          </cell>
        </row>
        <row r="66">
          <cell r="I66">
            <v>3592</v>
          </cell>
          <cell r="J66">
            <v>3592</v>
          </cell>
          <cell r="K66">
            <v>3592</v>
          </cell>
        </row>
        <row r="67">
          <cell r="I67">
            <v>80</v>
          </cell>
          <cell r="J67">
            <v>80</v>
          </cell>
          <cell r="K67">
            <v>80</v>
          </cell>
        </row>
        <row r="68">
          <cell r="I68">
            <v>44.05</v>
          </cell>
          <cell r="J68">
            <v>44.05</v>
          </cell>
          <cell r="K68">
            <v>44.05</v>
          </cell>
        </row>
        <row r="69">
          <cell r="I69">
            <v>3524</v>
          </cell>
          <cell r="J69">
            <v>3524</v>
          </cell>
          <cell r="K69">
            <v>3524</v>
          </cell>
        </row>
        <row r="70">
          <cell r="I70">
            <v>156</v>
          </cell>
          <cell r="J70">
            <v>156</v>
          </cell>
          <cell r="K70">
            <v>156</v>
          </cell>
        </row>
        <row r="71">
          <cell r="I71">
            <v>45.615384615384613</v>
          </cell>
          <cell r="J71">
            <v>45.615384615384613</v>
          </cell>
          <cell r="K71">
            <v>45.615384615384613</v>
          </cell>
        </row>
        <row r="72">
          <cell r="I72">
            <v>7116</v>
          </cell>
          <cell r="J72">
            <v>7116</v>
          </cell>
          <cell r="K72">
            <v>7116</v>
          </cell>
        </row>
        <row r="73">
          <cell r="I73">
            <v>296</v>
          </cell>
          <cell r="J73">
            <v>296</v>
          </cell>
          <cell r="K73">
            <v>296</v>
          </cell>
        </row>
        <row r="74">
          <cell r="I74">
            <v>44.216216216216218</v>
          </cell>
          <cell r="J74">
            <v>44.216216216216218</v>
          </cell>
          <cell r="K74">
            <v>44.216216216216218</v>
          </cell>
        </row>
        <row r="75">
          <cell r="I75">
            <v>13088</v>
          </cell>
          <cell r="J75">
            <v>13088</v>
          </cell>
          <cell r="K75">
            <v>13088</v>
          </cell>
        </row>
        <row r="76">
          <cell r="I76">
            <v>168</v>
          </cell>
          <cell r="J76">
            <v>168</v>
          </cell>
          <cell r="K76">
            <v>168</v>
          </cell>
        </row>
        <row r="77">
          <cell r="I77">
            <v>46.142857142857146</v>
          </cell>
          <cell r="J77">
            <v>46.142857142857146</v>
          </cell>
          <cell r="K77">
            <v>46.142857142857146</v>
          </cell>
        </row>
        <row r="78">
          <cell r="I78">
            <v>7752</v>
          </cell>
          <cell r="J78">
            <v>7752</v>
          </cell>
          <cell r="K78">
            <v>7752</v>
          </cell>
        </row>
        <row r="79">
          <cell r="I79">
            <v>464</v>
          </cell>
          <cell r="J79">
            <v>464</v>
          </cell>
          <cell r="K79">
            <v>464</v>
          </cell>
        </row>
        <row r="80">
          <cell r="I80">
            <v>44.913793103448278</v>
          </cell>
          <cell r="J80">
            <v>44.913793103448278</v>
          </cell>
          <cell r="K80">
            <v>44.913793103448278</v>
          </cell>
        </row>
        <row r="81">
          <cell r="I81">
            <v>20840</v>
          </cell>
          <cell r="J81">
            <v>20840</v>
          </cell>
          <cell r="K81">
            <v>20840</v>
          </cell>
        </row>
        <row r="85">
          <cell r="J85" t="str">
            <v xml:space="preserve">  當</v>
          </cell>
        </row>
        <row r="86">
          <cell r="I86" t="str">
            <v xml:space="preserve"> 前年同期 </v>
          </cell>
          <cell r="J86" t="str">
            <v xml:space="preserve">    `95.</v>
          </cell>
        </row>
        <row r="87">
          <cell r="J87" t="str">
            <v xml:space="preserve"> 計  劃</v>
          </cell>
          <cell r="K87" t="str">
            <v xml:space="preserve"> 實  績</v>
          </cell>
        </row>
        <row r="88">
          <cell r="I88">
            <v>8</v>
          </cell>
          <cell r="J88">
            <v>8</v>
          </cell>
          <cell r="K88">
            <v>8</v>
          </cell>
        </row>
        <row r="89">
          <cell r="I89">
            <v>43.5</v>
          </cell>
          <cell r="J89">
            <v>43.5</v>
          </cell>
          <cell r="K89">
            <v>43.5</v>
          </cell>
        </row>
        <row r="90">
          <cell r="I90">
            <v>348</v>
          </cell>
          <cell r="J90">
            <v>348</v>
          </cell>
          <cell r="K90">
            <v>348</v>
          </cell>
        </row>
        <row r="91">
          <cell r="I91">
            <v>12</v>
          </cell>
          <cell r="J91">
            <v>12</v>
          </cell>
          <cell r="K91">
            <v>12</v>
          </cell>
        </row>
        <row r="92">
          <cell r="I92">
            <v>49</v>
          </cell>
          <cell r="J92">
            <v>49</v>
          </cell>
          <cell r="K92">
            <v>49</v>
          </cell>
        </row>
        <row r="93">
          <cell r="I93">
            <v>588</v>
          </cell>
          <cell r="J93">
            <v>588</v>
          </cell>
          <cell r="K93">
            <v>588</v>
          </cell>
        </row>
        <row r="94">
          <cell r="I94">
            <v>20</v>
          </cell>
          <cell r="J94">
            <v>20</v>
          </cell>
          <cell r="K94">
            <v>20</v>
          </cell>
        </row>
        <row r="95">
          <cell r="I95">
            <v>46.8</v>
          </cell>
          <cell r="J95">
            <v>46.8</v>
          </cell>
          <cell r="K95">
            <v>46.8</v>
          </cell>
        </row>
        <row r="96">
          <cell r="I96">
            <v>936</v>
          </cell>
          <cell r="J96">
            <v>936</v>
          </cell>
          <cell r="K96">
            <v>936</v>
          </cell>
        </row>
        <row r="97">
          <cell r="I97">
            <v>0</v>
          </cell>
          <cell r="J97">
            <v>0</v>
          </cell>
          <cell r="K97">
            <v>0</v>
          </cell>
        </row>
        <row r="98">
          <cell r="I98" t="e">
            <v>#DIV/0!</v>
          </cell>
        </row>
        <row r="99">
          <cell r="I99">
            <v>0</v>
          </cell>
          <cell r="J99">
            <v>0</v>
          </cell>
          <cell r="K99">
            <v>0</v>
          </cell>
        </row>
        <row r="100">
          <cell r="I100">
            <v>20</v>
          </cell>
          <cell r="J100">
            <v>20</v>
          </cell>
          <cell r="K100">
            <v>20</v>
          </cell>
        </row>
        <row r="101">
          <cell r="I101">
            <v>48</v>
          </cell>
          <cell r="J101">
            <v>48</v>
          </cell>
          <cell r="K101">
            <v>48</v>
          </cell>
        </row>
        <row r="102">
          <cell r="I102">
            <v>960</v>
          </cell>
          <cell r="J102">
            <v>960</v>
          </cell>
          <cell r="K102">
            <v>960</v>
          </cell>
        </row>
        <row r="103">
          <cell r="I103">
            <v>0</v>
          </cell>
          <cell r="J103">
            <v>0</v>
          </cell>
          <cell r="K103">
            <v>0</v>
          </cell>
        </row>
        <row r="104">
          <cell r="I104" t="e">
            <v>#DIV/0!</v>
          </cell>
          <cell r="J104" t="e">
            <v>#DIV/0!</v>
          </cell>
          <cell r="K104" t="e">
            <v>#DIV/0!</v>
          </cell>
        </row>
        <row r="105">
          <cell r="I105">
            <v>0</v>
          </cell>
          <cell r="J105">
            <v>0</v>
          </cell>
          <cell r="K105">
            <v>0</v>
          </cell>
        </row>
        <row r="106">
          <cell r="I106">
            <v>0</v>
          </cell>
          <cell r="J106">
            <v>0</v>
          </cell>
          <cell r="K106">
            <v>0</v>
          </cell>
        </row>
        <row r="107">
          <cell r="I107" t="e">
            <v>#DIV/0!</v>
          </cell>
        </row>
        <row r="108">
          <cell r="I108">
            <v>0</v>
          </cell>
          <cell r="J108">
            <v>0</v>
          </cell>
          <cell r="K108">
            <v>0</v>
          </cell>
        </row>
        <row r="118">
          <cell r="I118">
            <v>5720</v>
          </cell>
          <cell r="J118">
            <v>5720</v>
          </cell>
          <cell r="K118">
            <v>5720</v>
          </cell>
        </row>
        <row r="119">
          <cell r="I119">
            <v>46.76223776223776</v>
          </cell>
          <cell r="J119">
            <v>46.76223776223776</v>
          </cell>
          <cell r="K119">
            <v>46.76223776223776</v>
          </cell>
        </row>
        <row r="120">
          <cell r="I120">
            <v>267480</v>
          </cell>
          <cell r="J120">
            <v>267480</v>
          </cell>
          <cell r="K120">
            <v>267480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총괄"/>
      <sheetName val="Macro"/>
      <sheetName val="추정703"/>
      <sheetName val="진천"/>
      <sheetName val="요약"/>
      <sheetName val="BSM9601"/>
      <sheetName val="중연"/>
      <sheetName val="#REF"/>
      <sheetName val="T&amp;C"/>
      <sheetName val="버튼"/>
      <sheetName val="울산"/>
      <sheetName val="타사비교(13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"/>
      <sheetName val="수불부"/>
      <sheetName val="구미2월"/>
      <sheetName val="안양2월"/>
      <sheetName val="참고"/>
      <sheetName val="경영비율 "/>
      <sheetName val=""/>
      <sheetName val="제조원가명세서"/>
      <sheetName val="중연"/>
      <sheetName val="04고객별 담당자"/>
      <sheetName val="JUYO"/>
      <sheetName val="판가"/>
      <sheetName val="CHAB"/>
      <sheetName val="언양"/>
      <sheetName val="주소"/>
      <sheetName val="손익총괄"/>
      <sheetName val="6.CF"/>
      <sheetName val="풍량"/>
      <sheetName val="TNC(1안)"/>
      <sheetName val="울산"/>
      <sheetName val="청도 년도별 손익 (RMB)"/>
      <sheetName val="1-12월"/>
      <sheetName val="정율표"/>
      <sheetName val="샘플_생관"/>
      <sheetName val="대구"/>
      <sheetName val="#REF"/>
      <sheetName val="월급제인원실적"/>
      <sheetName val="일급제인원실적"/>
      <sheetName val="산자강선PU(배부후)"/>
      <sheetName val="인상안"/>
      <sheetName val="1급갑"/>
      <sheetName val="버튼"/>
      <sheetName val="controll"/>
      <sheetName val="첨부.지수현황상세"/>
      <sheetName val="Macro"/>
      <sheetName val="07제품별수익성"/>
      <sheetName val="예산내역서"/>
      <sheetName val="2_2_2.ROIC월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언양"/>
      <sheetName val="대구"/>
      <sheetName val="#REF"/>
      <sheetName val="손익총괄"/>
      <sheetName val="비용"/>
      <sheetName val="TEMP"/>
      <sheetName val="수정시산표"/>
      <sheetName val="어음수표추가테스트"/>
      <sheetName val="Sheet1"/>
      <sheetName val="수불부"/>
      <sheetName val="거래선별 매출현황 내역"/>
      <sheetName val="JA"/>
      <sheetName val="07제품별수익성"/>
      <sheetName val="광주"/>
      <sheetName val="울산"/>
      <sheetName val="진천"/>
      <sheetName val="06제품별수익성"/>
      <sheetName val="품종 교체"/>
      <sheetName val="집계표"/>
      <sheetName val="TEMP2"/>
      <sheetName val="TEMP1"/>
      <sheetName val="그룹"/>
      <sheetName val="요약"/>
      <sheetName val="Macro"/>
      <sheetName val="태광"/>
      <sheetName val="1-12월"/>
      <sheetName val="구미"/>
      <sheetName val="07DATA"/>
      <sheetName val="DATA"/>
      <sheetName val="PL"/>
      <sheetName val="nr030112"/>
      <sheetName val="중공업PG계"/>
      <sheetName val="인상효1"/>
      <sheetName val="중연"/>
      <sheetName val="#REF!"/>
    </sheetNames>
    <sheetDataSet>
      <sheetData sheetId="0" refreshError="1">
        <row r="10">
          <cell r="I10">
            <v>156</v>
          </cell>
          <cell r="J10">
            <v>156</v>
          </cell>
          <cell r="K10">
            <v>156</v>
          </cell>
        </row>
        <row r="11">
          <cell r="I11">
            <v>47.282051282051285</v>
          </cell>
          <cell r="J11">
            <v>47.282051282051285</v>
          </cell>
          <cell r="K11">
            <v>47.282051282051285</v>
          </cell>
        </row>
        <row r="12">
          <cell r="I12">
            <v>7376</v>
          </cell>
          <cell r="J12">
            <v>7376</v>
          </cell>
          <cell r="K12">
            <v>7376</v>
          </cell>
        </row>
        <row r="13">
          <cell r="I13">
            <v>372</v>
          </cell>
          <cell r="J13">
            <v>372</v>
          </cell>
          <cell r="K13">
            <v>372</v>
          </cell>
        </row>
        <row r="14">
          <cell r="I14">
            <v>49.623655913978496</v>
          </cell>
          <cell r="J14">
            <v>49.623655913978496</v>
          </cell>
          <cell r="K14">
            <v>49.623655913978496</v>
          </cell>
        </row>
        <row r="15">
          <cell r="I15">
            <v>18460</v>
          </cell>
          <cell r="J15">
            <v>18460</v>
          </cell>
          <cell r="K15">
            <v>18460</v>
          </cell>
        </row>
        <row r="16">
          <cell r="I16">
            <v>528</v>
          </cell>
          <cell r="J16">
            <v>528</v>
          </cell>
          <cell r="K16">
            <v>528</v>
          </cell>
        </row>
        <row r="17">
          <cell r="I17">
            <v>48.93181818181818</v>
          </cell>
          <cell r="J17">
            <v>48.93181818181818</v>
          </cell>
          <cell r="K17">
            <v>48.93181818181818</v>
          </cell>
        </row>
        <row r="18">
          <cell r="I18">
            <v>25836</v>
          </cell>
          <cell r="J18">
            <v>25836</v>
          </cell>
          <cell r="K18">
            <v>25836</v>
          </cell>
        </row>
        <row r="19">
          <cell r="I19">
            <v>34528</v>
          </cell>
          <cell r="J19">
            <v>34528</v>
          </cell>
          <cell r="K19">
            <v>34528</v>
          </cell>
        </row>
        <row r="20">
          <cell r="I20">
            <v>1.3364297878928626</v>
          </cell>
          <cell r="J20">
            <v>1.3364297878928626</v>
          </cell>
          <cell r="K20">
            <v>1.3364297878928626</v>
          </cell>
        </row>
        <row r="21">
          <cell r="I21">
            <v>124</v>
          </cell>
          <cell r="J21">
            <v>124</v>
          </cell>
          <cell r="K21">
            <v>124</v>
          </cell>
        </row>
        <row r="22">
          <cell r="I22">
            <v>46.741935483870968</v>
          </cell>
          <cell r="J22">
            <v>46.741935483870968</v>
          </cell>
          <cell r="K22">
            <v>46.741935483870968</v>
          </cell>
        </row>
        <row r="23">
          <cell r="I23">
            <v>5796</v>
          </cell>
          <cell r="J23">
            <v>5796</v>
          </cell>
          <cell r="K23">
            <v>5796</v>
          </cell>
        </row>
        <row r="24">
          <cell r="I24">
            <v>300</v>
          </cell>
          <cell r="J24">
            <v>300</v>
          </cell>
          <cell r="K24">
            <v>300</v>
          </cell>
        </row>
        <row r="25">
          <cell r="I25">
            <v>53.16</v>
          </cell>
          <cell r="J25">
            <v>53.16</v>
          </cell>
          <cell r="K25">
            <v>53.16</v>
          </cell>
        </row>
        <row r="26">
          <cell r="I26">
            <v>15948</v>
          </cell>
          <cell r="J26">
            <v>15948</v>
          </cell>
          <cell r="K26">
            <v>15948</v>
          </cell>
        </row>
        <row r="27">
          <cell r="I27">
            <v>424</v>
          </cell>
          <cell r="J27">
            <v>424</v>
          </cell>
          <cell r="K27">
            <v>424</v>
          </cell>
        </row>
        <row r="28">
          <cell r="I28">
            <v>51.283018867924525</v>
          </cell>
          <cell r="J28">
            <v>51.283018867924525</v>
          </cell>
          <cell r="K28">
            <v>51.283018867924525</v>
          </cell>
        </row>
        <row r="29">
          <cell r="I29">
            <v>21744</v>
          </cell>
          <cell r="J29">
            <v>21744</v>
          </cell>
          <cell r="K29">
            <v>21744</v>
          </cell>
        </row>
        <row r="30">
          <cell r="I30">
            <v>199300</v>
          </cell>
          <cell r="J30">
            <v>199300</v>
          </cell>
          <cell r="K30">
            <v>199300</v>
          </cell>
        </row>
        <row r="31">
          <cell r="I31">
            <v>9.1657468727005149</v>
          </cell>
          <cell r="J31">
            <v>9.1657468727005149</v>
          </cell>
          <cell r="K31">
            <v>9.1657468727005149</v>
          </cell>
        </row>
        <row r="32">
          <cell r="I32">
            <v>364</v>
          </cell>
          <cell r="J32">
            <v>364</v>
          </cell>
          <cell r="K32">
            <v>364</v>
          </cell>
        </row>
        <row r="33">
          <cell r="I33">
            <v>47.329670329670328</v>
          </cell>
          <cell r="J33">
            <v>47.329670329670328</v>
          </cell>
          <cell r="K33">
            <v>47.329670329670328</v>
          </cell>
        </row>
        <row r="34">
          <cell r="I34">
            <v>17228</v>
          </cell>
          <cell r="J34">
            <v>17228</v>
          </cell>
          <cell r="K34">
            <v>17228</v>
          </cell>
        </row>
        <row r="35">
          <cell r="I35">
            <v>1180</v>
          </cell>
          <cell r="J35">
            <v>1180</v>
          </cell>
          <cell r="K35">
            <v>1180</v>
          </cell>
        </row>
        <row r="36">
          <cell r="I36">
            <v>48.840677966101694</v>
          </cell>
          <cell r="J36">
            <v>48.840677966101694</v>
          </cell>
          <cell r="K36">
            <v>48.840677966101694</v>
          </cell>
        </row>
        <row r="37">
          <cell r="I37">
            <v>57632</v>
          </cell>
          <cell r="J37">
            <v>57632</v>
          </cell>
          <cell r="K37">
            <v>57632</v>
          </cell>
        </row>
        <row r="38">
          <cell r="I38">
            <v>1544</v>
          </cell>
          <cell r="J38">
            <v>1544</v>
          </cell>
          <cell r="K38">
            <v>1544</v>
          </cell>
        </row>
        <row r="39">
          <cell r="I39">
            <v>48.484455958549226</v>
          </cell>
          <cell r="J39">
            <v>48.484455958549226</v>
          </cell>
          <cell r="K39">
            <v>48.484455958549226</v>
          </cell>
        </row>
        <row r="40">
          <cell r="I40">
            <v>74860</v>
          </cell>
          <cell r="J40">
            <v>74860</v>
          </cell>
          <cell r="K40">
            <v>74860</v>
          </cell>
        </row>
        <row r="41">
          <cell r="I41">
            <v>12412</v>
          </cell>
          <cell r="J41">
            <v>12412</v>
          </cell>
          <cell r="K41">
            <v>12412</v>
          </cell>
        </row>
        <row r="42">
          <cell r="I42">
            <v>0.1658028319529789</v>
          </cell>
          <cell r="J42">
            <v>0.1658028319529789</v>
          </cell>
          <cell r="K42">
            <v>0.1658028319529789</v>
          </cell>
        </row>
        <row r="46">
          <cell r="J46" t="str">
            <v xml:space="preserve">    累</v>
          </cell>
        </row>
        <row r="47">
          <cell r="I47" t="str">
            <v xml:space="preserve"> 前年同期</v>
          </cell>
          <cell r="J47" t="str">
            <v xml:space="preserve">   '95. </v>
          </cell>
        </row>
        <row r="48">
          <cell r="J48" t="str">
            <v xml:space="preserve"> 計  劃</v>
          </cell>
          <cell r="K48" t="str">
            <v xml:space="preserve"> 實  績</v>
          </cell>
        </row>
        <row r="49">
          <cell r="I49">
            <v>140</v>
          </cell>
          <cell r="J49">
            <v>140</v>
          </cell>
          <cell r="K49">
            <v>140</v>
          </cell>
        </row>
        <row r="50">
          <cell r="I50">
            <v>47.8</v>
          </cell>
          <cell r="J50">
            <v>47.8</v>
          </cell>
          <cell r="K50">
            <v>47.8</v>
          </cell>
        </row>
        <row r="51">
          <cell r="I51">
            <v>6692</v>
          </cell>
          <cell r="J51">
            <v>6692</v>
          </cell>
          <cell r="K51">
            <v>6692</v>
          </cell>
        </row>
        <row r="52">
          <cell r="I52">
            <v>76</v>
          </cell>
          <cell r="J52">
            <v>76</v>
          </cell>
          <cell r="K52">
            <v>76</v>
          </cell>
        </row>
        <row r="53">
          <cell r="I53">
            <v>52.368421052631582</v>
          </cell>
          <cell r="J53">
            <v>52.368421052631582</v>
          </cell>
          <cell r="K53">
            <v>52.368421052631582</v>
          </cell>
        </row>
        <row r="54">
          <cell r="I54">
            <v>3980</v>
          </cell>
          <cell r="J54">
            <v>3980</v>
          </cell>
          <cell r="K54">
            <v>3980</v>
          </cell>
        </row>
        <row r="55">
          <cell r="I55">
            <v>28</v>
          </cell>
          <cell r="J55">
            <v>28</v>
          </cell>
          <cell r="K55">
            <v>28</v>
          </cell>
        </row>
        <row r="56">
          <cell r="I56">
            <v>44.857142857142854</v>
          </cell>
          <cell r="J56">
            <v>44.857142857142854</v>
          </cell>
          <cell r="K56">
            <v>44.857142857142854</v>
          </cell>
        </row>
        <row r="57">
          <cell r="I57">
            <v>1256</v>
          </cell>
          <cell r="J57">
            <v>1256</v>
          </cell>
          <cell r="K57">
            <v>1256</v>
          </cell>
        </row>
        <row r="58">
          <cell r="I58">
            <v>72</v>
          </cell>
          <cell r="J58">
            <v>72</v>
          </cell>
          <cell r="K58">
            <v>72</v>
          </cell>
        </row>
        <row r="59">
          <cell r="I59">
            <v>44.388888888888886</v>
          </cell>
          <cell r="J59">
            <v>44.388888888888886</v>
          </cell>
          <cell r="K59">
            <v>44.388888888888886</v>
          </cell>
        </row>
        <row r="60">
          <cell r="I60">
            <v>3196</v>
          </cell>
          <cell r="J60">
            <v>3196</v>
          </cell>
          <cell r="K60">
            <v>3196</v>
          </cell>
        </row>
        <row r="61">
          <cell r="I61">
            <v>52</v>
          </cell>
          <cell r="J61">
            <v>52</v>
          </cell>
          <cell r="K61">
            <v>52</v>
          </cell>
        </row>
        <row r="62">
          <cell r="I62">
            <v>49.92307692307692</v>
          </cell>
          <cell r="J62">
            <v>49.92307692307692</v>
          </cell>
          <cell r="K62">
            <v>49.92307692307692</v>
          </cell>
        </row>
        <row r="63">
          <cell r="I63">
            <v>2596</v>
          </cell>
          <cell r="J63">
            <v>2596</v>
          </cell>
          <cell r="K63">
            <v>2596</v>
          </cell>
        </row>
        <row r="64">
          <cell r="I64">
            <v>0</v>
          </cell>
          <cell r="J64">
            <v>0</v>
          </cell>
          <cell r="K64">
            <v>0</v>
          </cell>
        </row>
        <row r="66">
          <cell r="I66">
            <v>0</v>
          </cell>
          <cell r="J66">
            <v>0</v>
          </cell>
          <cell r="K66">
            <v>0</v>
          </cell>
        </row>
        <row r="67">
          <cell r="I67">
            <v>20</v>
          </cell>
          <cell r="J67">
            <v>20</v>
          </cell>
          <cell r="K67">
            <v>20</v>
          </cell>
        </row>
        <row r="68">
          <cell r="J68">
            <v>48</v>
          </cell>
          <cell r="K68">
            <v>48</v>
          </cell>
        </row>
        <row r="69">
          <cell r="I69">
            <v>960</v>
          </cell>
          <cell r="J69">
            <v>960</v>
          </cell>
          <cell r="K69">
            <v>960</v>
          </cell>
        </row>
        <row r="70">
          <cell r="I70">
            <v>388</v>
          </cell>
          <cell r="J70">
            <v>388</v>
          </cell>
          <cell r="K70">
            <v>388</v>
          </cell>
        </row>
        <row r="71">
          <cell r="I71">
            <v>48.144329896907216</v>
          </cell>
          <cell r="J71">
            <v>48.144329896907216</v>
          </cell>
          <cell r="K71">
            <v>48.144329896907216</v>
          </cell>
        </row>
        <row r="72">
          <cell r="I72">
            <v>18680</v>
          </cell>
          <cell r="J72">
            <v>18680</v>
          </cell>
          <cell r="K72">
            <v>18680</v>
          </cell>
        </row>
        <row r="79">
          <cell r="I79">
            <v>2884</v>
          </cell>
          <cell r="J79">
            <v>2884</v>
          </cell>
          <cell r="K79">
            <v>2884</v>
          </cell>
        </row>
        <row r="80">
          <cell r="I80">
            <v>48.932038834951456</v>
          </cell>
          <cell r="J80">
            <v>48.932038834951456</v>
          </cell>
          <cell r="K80">
            <v>48.932038834951456</v>
          </cell>
        </row>
        <row r="81">
          <cell r="I81">
            <v>141120</v>
          </cell>
          <cell r="J81">
            <v>141120</v>
          </cell>
          <cell r="K81">
            <v>141120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구"/>
      <sheetName val="구미"/>
      <sheetName val="대차대조표"/>
      <sheetName val="OPT손익 내수"/>
      <sheetName val="OPT손익 수출"/>
      <sheetName val="Parm"/>
      <sheetName val="대구공수"/>
      <sheetName val="손익계산서"/>
      <sheetName val="COBS"/>
      <sheetName val="손익분석"/>
      <sheetName val="Sheet1"/>
      <sheetName val="울산"/>
      <sheetName val="보고서"/>
      <sheetName val="언양"/>
      <sheetName val="11고객별 담당자"/>
      <sheetName val="1_06수익성"/>
      <sheetName val="구미2월"/>
      <sheetName val="안양2월"/>
      <sheetName val="한빛은행_종합2001"/>
      <sheetName val="FLUC-94"/>
      <sheetName val="산자사 운전용품"/>
      <sheetName val="중연"/>
      <sheetName val="BACK"/>
      <sheetName val="광주"/>
      <sheetName val="연령현황"/>
      <sheetName val="ERP 원가 BACKDATA"/>
      <sheetName val="고합"/>
      <sheetName val="8월판가_2"/>
      <sheetName val="Base"/>
      <sheetName val="Macro"/>
      <sheetName val="#REF"/>
      <sheetName val="용연"/>
      <sheetName val="진천"/>
      <sheetName val="220 (2)"/>
      <sheetName val="손익총괄"/>
      <sheetName val="제조원가"/>
      <sheetName val="key"/>
      <sheetName val="SMT 종합"/>
      <sheetName val="자금입금"/>
      <sheetName val="추정"/>
      <sheetName val="2월피벗"/>
      <sheetName val="BACK (2)"/>
      <sheetName val="#REF!"/>
    </sheetNames>
    <sheetDataSet>
      <sheetData sheetId="0" refreshError="1">
        <row r="10">
          <cell r="I10">
            <v>114</v>
          </cell>
          <cell r="J10">
            <v>110</v>
          </cell>
          <cell r="K10">
            <v>101</v>
          </cell>
        </row>
        <row r="11">
          <cell r="I11">
            <v>46.991228070175438</v>
          </cell>
          <cell r="J11">
            <v>47.009090909090908</v>
          </cell>
          <cell r="K11">
            <v>45.900990099009903</v>
          </cell>
        </row>
        <row r="12">
          <cell r="I12">
            <v>5357</v>
          </cell>
          <cell r="J12">
            <v>5171</v>
          </cell>
          <cell r="K12">
            <v>4636</v>
          </cell>
        </row>
        <row r="13">
          <cell r="I13">
            <v>301</v>
          </cell>
          <cell r="J13">
            <v>323</v>
          </cell>
          <cell r="K13">
            <v>286</v>
          </cell>
        </row>
        <row r="14">
          <cell r="I14">
            <v>5.6188165017733806E-2</v>
          </cell>
          <cell r="J14">
            <v>6.2463740088957651E-2</v>
          </cell>
          <cell r="K14">
            <v>6.169111302847282E-2</v>
          </cell>
        </row>
        <row r="15">
          <cell r="I15">
            <v>22</v>
          </cell>
          <cell r="J15">
            <v>22</v>
          </cell>
          <cell r="K15">
            <v>20</v>
          </cell>
        </row>
        <row r="16">
          <cell r="I16">
            <v>68.181818181818187</v>
          </cell>
          <cell r="J16">
            <v>67.818181818181813</v>
          </cell>
          <cell r="K16">
            <v>65.25</v>
          </cell>
        </row>
        <row r="17">
          <cell r="I17">
            <v>1500</v>
          </cell>
          <cell r="J17">
            <v>1492</v>
          </cell>
          <cell r="K17">
            <v>1305</v>
          </cell>
        </row>
        <row r="40">
          <cell r="I40">
            <v>136</v>
          </cell>
          <cell r="J40">
            <v>132</v>
          </cell>
          <cell r="K40">
            <v>121</v>
          </cell>
        </row>
        <row r="41">
          <cell r="I41">
            <v>50.419117647058826</v>
          </cell>
          <cell r="J41">
            <v>50.477272727272727</v>
          </cell>
          <cell r="K41">
            <v>49.099173553719005</v>
          </cell>
        </row>
        <row r="42">
          <cell r="I42">
            <v>6857</v>
          </cell>
          <cell r="J42">
            <v>6663</v>
          </cell>
          <cell r="K42">
            <v>5941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"/>
      <sheetName val="PNT-QUOT-#3"/>
      <sheetName val="COAT&amp;WRAP-QIOT-#3"/>
      <sheetName val="DATA"/>
      <sheetName val="대구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령현황"/>
      <sheetName val="품의서"/>
      <sheetName val="인원(전사)"/>
      <sheetName val="인원(대구제외)"/>
      <sheetName val="인원(울)"/>
      <sheetName val="인원(안양)"/>
      <sheetName val="인원(언양)"/>
      <sheetName val="비용"/>
      <sheetName val="dongia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연령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미"/>
      <sheetName val="광주"/>
      <sheetName val="세계1(DATA)"/>
      <sheetName val="총괄"/>
      <sheetName val="매출매입"/>
      <sheetName val="언양"/>
      <sheetName val="수불부"/>
      <sheetName val="중연"/>
      <sheetName val="손익총괄"/>
      <sheetName val="직급실적"/>
      <sheetName val="Sheet1"/>
      <sheetName val="적용환율"/>
      <sheetName val="생산량"/>
      <sheetName val="고합"/>
      <sheetName val="표지 (2)"/>
      <sheetName val="용연"/>
      <sheetName val="LS"/>
      <sheetName val="TB"/>
      <sheetName val="Base"/>
      <sheetName val="T&amp;C"/>
      <sheetName val="3_1_1.제조비용년간"/>
      <sheetName val="01_12月_Lot별_판매실적.xls"/>
      <sheetName val="Macro"/>
      <sheetName val="원가내역"/>
      <sheetName val="연령현황"/>
      <sheetName val="대비표_SPX가"/>
      <sheetName val="DJ3.28-222.25NKMSTJ"/>
      <sheetName val="급여"/>
      <sheetName val="대구"/>
      <sheetName val="진천"/>
      <sheetName val="8호기TEST"/>
      <sheetName val="Macro1"/>
      <sheetName val="DSP-30"/>
      <sheetName val="▶판매량Trend(수정안)"/>
      <sheetName val="▶판가Trend(수정안)"/>
      <sheetName val="임가공처"/>
      <sheetName val="DATA"/>
      <sheetName val="지수"/>
      <sheetName val="#REF!"/>
      <sheetName val="#REF"/>
    </sheetNames>
    <sheetDataSet>
      <sheetData sheetId="0" refreshError="1">
        <row r="10">
          <cell r="I10">
            <v>19</v>
          </cell>
          <cell r="J10">
            <v>15</v>
          </cell>
          <cell r="K10">
            <v>17</v>
          </cell>
          <cell r="R10" t="str">
            <v xml:space="preserve">  人  員</v>
          </cell>
          <cell r="S10">
            <v>17</v>
          </cell>
          <cell r="T10">
            <v>17</v>
          </cell>
        </row>
        <row r="11">
          <cell r="I11">
            <v>31.157894736842106</v>
          </cell>
          <cell r="J11" t="e">
            <v>#VALUE!</v>
          </cell>
          <cell r="K11">
            <v>41.941176470588232</v>
          </cell>
          <cell r="R11" t="str">
            <v xml:space="preserve"> 平均工數</v>
          </cell>
          <cell r="S11">
            <v>41.941176470588232</v>
          </cell>
          <cell r="T11">
            <v>41.941176470588232</v>
          </cell>
        </row>
        <row r="12">
          <cell r="I12">
            <v>592</v>
          </cell>
          <cell r="J12" t="e">
            <v>#VALUE!</v>
          </cell>
          <cell r="K12">
            <v>713</v>
          </cell>
          <cell r="R12" t="str">
            <v xml:space="preserve">  總工數</v>
          </cell>
          <cell r="S12">
            <v>713</v>
          </cell>
          <cell r="T12">
            <v>713</v>
          </cell>
        </row>
        <row r="13">
          <cell r="I13">
            <v>25</v>
          </cell>
          <cell r="J13" t="e">
            <v>#VALUE!</v>
          </cell>
          <cell r="K13">
            <v>58</v>
          </cell>
          <cell r="R13" t="str">
            <v xml:space="preserve">  人  員</v>
          </cell>
          <cell r="S13">
            <v>58</v>
          </cell>
          <cell r="T13">
            <v>58</v>
          </cell>
        </row>
        <row r="14">
          <cell r="I14">
            <v>41.72</v>
          </cell>
          <cell r="J14" t="e">
            <v>#VALUE!</v>
          </cell>
          <cell r="K14">
            <v>39.293103448275865</v>
          </cell>
          <cell r="R14" t="str">
            <v xml:space="preserve"> 平均工數</v>
          </cell>
          <cell r="S14">
            <v>39.293103448275865</v>
          </cell>
          <cell r="T14">
            <v>39.293103448275865</v>
          </cell>
        </row>
        <row r="15">
          <cell r="I15">
            <v>1043</v>
          </cell>
          <cell r="J15">
            <v>2715</v>
          </cell>
          <cell r="K15">
            <v>2279</v>
          </cell>
          <cell r="R15" t="str">
            <v xml:space="preserve">  總工數</v>
          </cell>
          <cell r="S15">
            <v>2279</v>
          </cell>
          <cell r="T15">
            <v>2279</v>
          </cell>
        </row>
        <row r="16">
          <cell r="I16">
            <v>44</v>
          </cell>
          <cell r="J16">
            <v>77</v>
          </cell>
          <cell r="K16">
            <v>75</v>
          </cell>
          <cell r="R16" t="str">
            <v xml:space="preserve">  人  員</v>
          </cell>
          <cell r="S16">
            <v>75</v>
          </cell>
          <cell r="T16">
            <v>75</v>
          </cell>
        </row>
        <row r="17">
          <cell r="I17">
            <v>37.159090909090907</v>
          </cell>
          <cell r="J17">
            <v>43.636363636363633</v>
          </cell>
          <cell r="K17" t="e">
            <v>#VALUE!</v>
          </cell>
          <cell r="R17" t="str">
            <v xml:space="preserve"> 平均工數</v>
          </cell>
          <cell r="S17">
            <v>39.893333333333331</v>
          </cell>
          <cell r="T17">
            <v>39.893333333333331</v>
          </cell>
        </row>
        <row r="18">
          <cell r="I18">
            <v>1635</v>
          </cell>
          <cell r="J18">
            <v>3360</v>
          </cell>
          <cell r="K18" t="e">
            <v>#VALUE!</v>
          </cell>
          <cell r="R18" t="str">
            <v xml:space="preserve">  總工數</v>
          </cell>
          <cell r="S18">
            <v>2992</v>
          </cell>
          <cell r="T18">
            <v>2992</v>
          </cell>
        </row>
        <row r="19">
          <cell r="I19">
            <v>3600</v>
          </cell>
          <cell r="J19">
            <v>5880</v>
          </cell>
          <cell r="K19">
            <v>8255</v>
          </cell>
          <cell r="R19" t="str">
            <v xml:space="preserve">  生産量</v>
          </cell>
          <cell r="S19">
            <v>8255</v>
          </cell>
          <cell r="T19">
            <v>8255</v>
          </cell>
        </row>
        <row r="20">
          <cell r="I20">
            <v>2.2018348623853212</v>
          </cell>
          <cell r="J20">
            <v>1.75</v>
          </cell>
          <cell r="K20" t="e">
            <v>#VALUE!</v>
          </cell>
          <cell r="R20" t="str">
            <v>生産量/工數</v>
          </cell>
          <cell r="S20">
            <v>2.7590240641711228</v>
          </cell>
          <cell r="T20">
            <v>2.7590240641711228</v>
          </cell>
        </row>
        <row r="21">
          <cell r="I21">
            <v>4</v>
          </cell>
          <cell r="J21">
            <v>6</v>
          </cell>
          <cell r="K21">
            <v>5</v>
          </cell>
          <cell r="R21" t="str">
            <v xml:space="preserve">  人  員</v>
          </cell>
          <cell r="S21">
            <v>5</v>
          </cell>
          <cell r="T21">
            <v>5</v>
          </cell>
        </row>
        <row r="22">
          <cell r="I22">
            <v>40</v>
          </cell>
          <cell r="J22">
            <v>38</v>
          </cell>
          <cell r="K22">
            <v>39.6</v>
          </cell>
          <cell r="R22" t="str">
            <v xml:space="preserve"> 平均工數</v>
          </cell>
          <cell r="S22">
            <v>39.6</v>
          </cell>
          <cell r="T22">
            <v>39.6</v>
          </cell>
        </row>
        <row r="23">
          <cell r="I23">
            <v>160</v>
          </cell>
          <cell r="J23">
            <v>228</v>
          </cell>
          <cell r="K23">
            <v>198</v>
          </cell>
          <cell r="R23" t="str">
            <v xml:space="preserve">  總工數</v>
          </cell>
          <cell r="S23">
            <v>198</v>
          </cell>
          <cell r="T23">
            <v>198</v>
          </cell>
        </row>
        <row r="24">
          <cell r="I24">
            <v>3</v>
          </cell>
          <cell r="J24">
            <v>6</v>
          </cell>
          <cell r="K24">
            <v>5</v>
          </cell>
          <cell r="R24" t="str">
            <v xml:space="preserve">  人  員</v>
          </cell>
          <cell r="S24">
            <v>5</v>
          </cell>
          <cell r="T24">
            <v>5</v>
          </cell>
        </row>
        <row r="25">
          <cell r="I25">
            <v>37.333333333333336</v>
          </cell>
          <cell r="J25" t="e">
            <v>#VALUE!</v>
          </cell>
          <cell r="K25">
            <v>40.200000000000003</v>
          </cell>
          <cell r="R25" t="str">
            <v xml:space="preserve"> 平均工數</v>
          </cell>
          <cell r="S25">
            <v>40.200000000000003</v>
          </cell>
          <cell r="T25">
            <v>40.200000000000003</v>
          </cell>
        </row>
        <row r="26">
          <cell r="I26">
            <v>112</v>
          </cell>
          <cell r="J26" t="e">
            <v>#VALUE!</v>
          </cell>
          <cell r="K26">
            <v>201</v>
          </cell>
          <cell r="R26" t="str">
            <v xml:space="preserve">  總工數</v>
          </cell>
          <cell r="S26">
            <v>201</v>
          </cell>
          <cell r="T26">
            <v>201</v>
          </cell>
        </row>
        <row r="27">
          <cell r="I27">
            <v>2</v>
          </cell>
          <cell r="J27">
            <v>3</v>
          </cell>
          <cell r="K27">
            <v>3</v>
          </cell>
          <cell r="R27" t="str">
            <v xml:space="preserve">  人  員</v>
          </cell>
          <cell r="S27">
            <v>3</v>
          </cell>
          <cell r="T27">
            <v>3</v>
          </cell>
        </row>
        <row r="28">
          <cell r="I28">
            <v>42</v>
          </cell>
          <cell r="J28">
            <v>38</v>
          </cell>
          <cell r="K28">
            <v>40.666666666666664</v>
          </cell>
          <cell r="R28" t="str">
            <v xml:space="preserve"> 平均工數</v>
          </cell>
          <cell r="S28">
            <v>40.666666666666664</v>
          </cell>
          <cell r="T28">
            <v>40.666666666666664</v>
          </cell>
        </row>
        <row r="29">
          <cell r="I29">
            <v>84</v>
          </cell>
          <cell r="J29">
            <v>114</v>
          </cell>
          <cell r="K29">
            <v>122</v>
          </cell>
          <cell r="R29" t="str">
            <v xml:space="preserve">  總工數</v>
          </cell>
          <cell r="S29">
            <v>122</v>
          </cell>
          <cell r="T29">
            <v>122</v>
          </cell>
        </row>
        <row r="30">
          <cell r="I30">
            <v>9</v>
          </cell>
          <cell r="J30">
            <v>15</v>
          </cell>
          <cell r="K30">
            <v>13</v>
          </cell>
          <cell r="R30" t="str">
            <v xml:space="preserve">  人  員</v>
          </cell>
          <cell r="S30">
            <v>13</v>
          </cell>
          <cell r="T30">
            <v>13</v>
          </cell>
        </row>
        <row r="31">
          <cell r="I31">
            <v>39.555555555555557</v>
          </cell>
          <cell r="J31">
            <v>38</v>
          </cell>
          <cell r="K31">
            <v>40.07692307692308</v>
          </cell>
          <cell r="R31" t="str">
            <v xml:space="preserve"> 平均工數</v>
          </cell>
          <cell r="S31">
            <v>40.07692307692308</v>
          </cell>
          <cell r="T31">
            <v>40.07692307692308</v>
          </cell>
        </row>
        <row r="32">
          <cell r="I32">
            <v>356</v>
          </cell>
          <cell r="J32">
            <v>570</v>
          </cell>
          <cell r="K32">
            <v>521</v>
          </cell>
          <cell r="R32" t="str">
            <v xml:space="preserve">  總工數</v>
          </cell>
          <cell r="S32">
            <v>521</v>
          </cell>
          <cell r="T32">
            <v>521</v>
          </cell>
        </row>
        <row r="39">
          <cell r="I39">
            <v>53</v>
          </cell>
          <cell r="J39">
            <v>92</v>
          </cell>
          <cell r="K39">
            <v>88</v>
          </cell>
          <cell r="R39" t="str">
            <v xml:space="preserve">  人  員</v>
          </cell>
          <cell r="S39">
            <v>88</v>
          </cell>
          <cell r="T39">
            <v>88</v>
          </cell>
        </row>
        <row r="40">
          <cell r="I40">
            <v>37.566037735849058</v>
          </cell>
          <cell r="J40" t="e">
            <v>#VALUE!</v>
          </cell>
          <cell r="K40" t="e">
            <v>#VALUE!</v>
          </cell>
          <cell r="R40" t="str">
            <v xml:space="preserve"> 平均工數</v>
          </cell>
          <cell r="S40">
            <v>39.920454545454547</v>
          </cell>
          <cell r="T40">
            <v>39.920454545454547</v>
          </cell>
        </row>
        <row r="41">
          <cell r="I41">
            <v>1991</v>
          </cell>
          <cell r="J41" t="e">
            <v>#VALUE!</v>
          </cell>
          <cell r="K41" t="e">
            <v>#VALUE!</v>
          </cell>
          <cell r="R41" t="str">
            <v xml:space="preserve">  總工數</v>
          </cell>
          <cell r="S41">
            <v>3513</v>
          </cell>
          <cell r="T41">
            <v>3513</v>
          </cell>
        </row>
        <row r="42">
          <cell r="R42" t="str">
            <v xml:space="preserve">  生産量</v>
          </cell>
        </row>
        <row r="43">
          <cell r="R43" t="str">
            <v>生産量/工數</v>
          </cell>
        </row>
        <row r="48">
          <cell r="S48" t="str">
            <v>1월</v>
          </cell>
          <cell r="T48" t="str">
            <v>2월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사인상전"/>
      <sheetName val="표지"/>
      <sheetName val="인상효과"/>
      <sheetName val="Ⅱ"/>
      <sheetName val="Ⅲ"/>
      <sheetName val="요약"/>
      <sheetName val="전후대비(본봉)"/>
      <sheetName val="전후대비(월정급) "/>
      <sheetName val="전후대비(연봉)"/>
      <sheetName val="비용"/>
      <sheetName val="PL_1_2"/>
      <sheetName val="유첨 5"/>
      <sheetName val="구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사업부 대비"/>
      <sheetName val="서식-2"/>
      <sheetName val="손익총괄"/>
      <sheetName val="10고객별 담당자"/>
      <sheetName val="Macro1"/>
      <sheetName val="08제품별수익성"/>
      <sheetName val="기준Data"/>
      <sheetName val="원료구매"/>
      <sheetName val="#REF!"/>
      <sheetName val="본사인상전"/>
    </sheetNames>
    <sheetDataSet>
      <sheetData sheetId="0" refreshError="1">
        <row r="1">
          <cell r="A1" t="str">
            <v>PRINTALL</v>
          </cell>
          <cell r="F1" t="str">
            <v>PRINT5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총괄"/>
      <sheetName val="서식-1"/>
      <sheetName val="Base"/>
      <sheetName val="Macro"/>
    </sheetNames>
    <sheetDataSet>
      <sheetData sheetId="0" refreshError="1">
        <row r="99">
          <cell r="A99">
            <v>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확인"/>
      <sheetName val="11수익성"/>
      <sheetName val="11월 시장별제품별판매"/>
      <sheetName val="11SG&amp;A"/>
      <sheetName val="11피벗"/>
      <sheetName val="11판매"/>
      <sheetName val="11고객별 담당자"/>
      <sheetName val="11data"/>
      <sheetName val="11EBIT"/>
      <sheetName val="11EBIT값"/>
      <sheetName val="10고객별 담당자"/>
      <sheetName val="06제품별수익성"/>
      <sheetName val="저압"/>
      <sheetName val="고압"/>
      <sheetName val="기어솔루션"/>
      <sheetName val="산기_주조_생관_품보"/>
      <sheetName val="본사"/>
      <sheetName val="07DATA"/>
      <sheetName val="07제품별수익성"/>
      <sheetName val="1_06수익성"/>
      <sheetName val="1월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1월"/>
      <sheetName val="구list"/>
      <sheetName val="구입내역"/>
      <sheetName val="집계표"/>
      <sheetName val="Base"/>
      <sheetName val="10고객별 담당자"/>
      <sheetName val="목록"/>
      <sheetName val="実績表紙"/>
      <sheetName val="1_05고객별 담당자"/>
      <sheetName val="1_05수익성대비표"/>
      <sheetName val="조건표"/>
      <sheetName val="고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사원별"/>
      <sheetName val="07제품별수익성"/>
      <sheetName val="07SG&amp;A"/>
      <sheetName val="07피벗값"/>
      <sheetName val="07DATA"/>
      <sheetName val="07피벗"/>
      <sheetName val="07판매"/>
      <sheetName val="07고객별 담당자"/>
      <sheetName val="공장전체"/>
      <sheetName val="업무과04"/>
      <sheetName val="업무과05"/>
      <sheetName val="별첨1"/>
      <sheetName val="예산내역서"/>
      <sheetName val="1-12월"/>
      <sheetName val="중공업PG계"/>
      <sheetName val="요약"/>
      <sheetName val="TNC(1안)"/>
      <sheetName val="손익총괄"/>
      <sheetName val="▷손익실적"/>
      <sheetName val="상품입고집계"/>
      <sheetName val="내역서"/>
      <sheetName val="11고객별 담당자"/>
      <sheetName val="04고객별 담당자"/>
      <sheetName val="직급실적"/>
      <sheetName val="99계획대비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data"/>
      <sheetName val="04판매"/>
      <sheetName val="04고객별 담당자"/>
      <sheetName val="03개인별실적(순서)"/>
      <sheetName val="03판매"/>
      <sheetName val="03사원별값"/>
      <sheetName val="03사원별"/>
      <sheetName val="03피벗값"/>
      <sheetName val="03data"/>
      <sheetName val="03피벗"/>
      <sheetName val="#REF"/>
      <sheetName val="#REF!"/>
      <sheetName val="울산"/>
      <sheetName val="본사인상전"/>
      <sheetName val="TNC(1안)"/>
      <sheetName val="07제품별수익성"/>
      <sheetName val="06제품별수익성"/>
      <sheetName val="연구실적"/>
      <sheetName val="연령현황"/>
      <sheetName val="--"/>
      <sheetName val="GR1"/>
      <sheetName val="TNC"/>
      <sheetName val="목록"/>
      <sheetName val="광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11고객별 담당자"/>
      <sheetName val="1급갑"/>
      <sheetName val="판매추이"/>
      <sheetName val="언양"/>
      <sheetName val="손익분석"/>
      <sheetName val="T&amp;C"/>
      <sheetName val="#REF"/>
      <sheetName val="버튼"/>
      <sheetName val="220 (2)"/>
      <sheetName val="04고객별 담당자"/>
      <sheetName val="CHAB'00기준"/>
      <sheetName val="교수설계"/>
      <sheetName val="Sub"/>
      <sheetName val="용연"/>
      <sheetName val="울산"/>
      <sheetName val="중연"/>
      <sheetName val="06제품별수익성"/>
      <sheetName val="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월 시장별제품별판매"/>
      <sheetName val="10SG&amp;A"/>
      <sheetName val="10고객별 담당자"/>
      <sheetName val="10수익성"/>
      <sheetName val="10피벗"/>
      <sheetName val="10피벗 (2)"/>
      <sheetName val="10EBIT"/>
      <sheetName val="10data"/>
      <sheetName val="10EBIT값"/>
      <sheetName val="Sheet2"/>
      <sheetName val="Sheet1"/>
      <sheetName val="10판매"/>
      <sheetName val="AA급 판가"/>
      <sheetName val="CEM"/>
      <sheetName val="07DATA"/>
      <sheetName val="1_03수익성대비표"/>
      <sheetName val="CHAB'00기준"/>
      <sheetName val="06제품별수익성"/>
      <sheetName val="적용환율"/>
      <sheetName val="実績表紙"/>
      <sheetName val="손익총괄"/>
      <sheetName val="T&amp;C"/>
      <sheetName val="개선안2"/>
      <sheetName val="개선안4"/>
      <sheetName val="배경"/>
      <sheetName val="목적"/>
      <sheetName val="WORK"/>
      <sheetName val="고합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상효1"/>
      <sheetName val="2"/>
      <sheetName val="▶판매량Trend(수정안)"/>
      <sheetName val="▶판가Trend(수정안)"/>
      <sheetName val="07DATA"/>
      <sheetName val="비용"/>
      <sheetName val="수주잔"/>
      <sheetName val="TNC(1안)"/>
      <sheetName val="ÀÎ»óÈ¿1"/>
      <sheetName val="¢ºÆÇ¸Å·®Trend(¼öÁ¤¾È)"/>
      <sheetName val="¢ºÆÇ°¡Trend(¼öÁ¤¾È)"/>
      <sheetName val="ºñ¿ë"/>
      <sheetName val="TNC(1¾È)"/>
      <sheetName val="판매추이"/>
      <sheetName val="대구"/>
      <sheetName val="1-12월"/>
      <sheetName val="노임단가"/>
      <sheetName val="단가조사"/>
      <sheetName val="CODE표"/>
      <sheetName val="태광"/>
      <sheetName val="한빛은행_종합2001"/>
      <sheetName val="울산"/>
      <sheetName val="▷손익실적"/>
      <sheetName val="매출이익011h"/>
      <sheetName val="일위대가표"/>
      <sheetName val="내역"/>
      <sheetName val="내역서"/>
      <sheetName val="125PIECE"/>
      <sheetName val="중량CV% "/>
      <sheetName val="세부(종합)"/>
      <sheetName val="전체지분도"/>
      <sheetName val="Chi Tiet"/>
      <sheetName val="예산내역서"/>
      <sheetName val="Base"/>
      <sheetName val="시산표"/>
      <sheetName val="1-7 Dec"/>
      <sheetName val="22-31 Dec"/>
      <sheetName val="1-7 Nov"/>
      <sheetName val="Dec"/>
      <sheetName val="Jan 03"/>
      <sheetName val="22-30 Nov"/>
      <sheetName val="8호기TEST"/>
      <sheetName val="원가분석"/>
      <sheetName val="GR1"/>
      <sheetName val="--"/>
      <sheetName val="T&amp;C"/>
      <sheetName val="인상안"/>
      <sheetName val="9609Aß"/>
      <sheetName val="설치"/>
      <sheetName val="TH-XL"/>
      <sheetName val="총집계표"/>
      <sheetName val="???1"/>
      <sheetName val="쌍체T"/>
      <sheetName val="2sampleT"/>
      <sheetName val="직급실적"/>
      <sheetName val="SUS배관단가"/>
      <sheetName val="선형회귀"/>
      <sheetName val="1_05고객별 담당자"/>
      <sheetName val="1_05수익성대비표"/>
      <sheetName val="진천"/>
      <sheetName val="요약"/>
      <sheetName val="HVAC"/>
      <sheetName val="건축내역"/>
      <sheetName val="건축원가계산서"/>
      <sheetName val="99계획대비실적"/>
      <sheetName val="#REF"/>
      <sheetName val="버튼"/>
      <sheetName val="___1"/>
      <sheetName val="IN2"/>
      <sheetName val="구미"/>
      <sheetName val="생산량"/>
      <sheetName val="현금예금"/>
      <sheetName val="Macro1"/>
      <sheetName val="본부장"/>
      <sheetName val="단독"/>
      <sheetName val="아림"/>
      <sheetName val="유첨3)상세 고장유형"/>
      <sheetName val="JUYO"/>
      <sheetName val="문산_제품-브라스와이어_소요량"/>
      <sheetName val="3월"/>
      <sheetName val="일급제인원실적"/>
      <sheetName val="산자강선PU(배부후)"/>
      <sheetName val="불량율현황"/>
      <sheetName val="Macro(전기)"/>
      <sheetName val="용연"/>
      <sheetName val="광주"/>
      <sheetName val="언양"/>
      <sheetName val="중연"/>
      <sheetName val="완성차 미수금"/>
      <sheetName val="상품입고집계"/>
      <sheetName val="추정"/>
      <sheetName val="220 (2)"/>
      <sheetName val="본사인상전"/>
      <sheetName val="고합"/>
      <sheetName val="WorkPLM"/>
      <sheetName val="단가산출"/>
      <sheetName val="교수설계"/>
      <sheetName val="总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"/>
      <sheetName val="생산량"/>
      <sheetName val="가동율,Waste"/>
      <sheetName val="사절수"/>
      <sheetName val="AA,공정사고"/>
      <sheetName val="인원,공수"/>
      <sheetName val="생산성"/>
      <sheetName val="손익총괄"/>
      <sheetName val="SERVICE"/>
      <sheetName val="한성교회 신축공사(050713)_CheckList"/>
      <sheetName val="인상효1"/>
      <sheetName val="기준Data"/>
      <sheetName val="집계표"/>
      <sheetName val="DATA"/>
      <sheetName val="광주"/>
      <sheetName val="#REF"/>
      <sheetName val="중연"/>
      <sheetName val="울산"/>
      <sheetName val="구미"/>
      <sheetName val="Macro"/>
      <sheetName val="용연"/>
      <sheetName val="4.IDEA관리시트"/>
      <sheetName val="태광"/>
      <sheetName val="본사인상전"/>
      <sheetName val="실행내역서 "/>
      <sheetName val="판매추이"/>
      <sheetName val="언양"/>
      <sheetName val="HGAN9702"/>
      <sheetName val="요약"/>
      <sheetName val="07DATA"/>
      <sheetName val="SCord"/>
      <sheetName val="예산내역서"/>
      <sheetName val="중량CV% "/>
      <sheetName val="Sheet1"/>
      <sheetName val="참조"/>
      <sheetName val="쌍체T"/>
      <sheetName val="2sampleT"/>
      <sheetName val="선형회귀"/>
      <sheetName val="WORK"/>
      <sheetName val="JUYO"/>
      <sheetName val="내역"/>
      <sheetName val="businessplan"/>
      <sheetName val="Base"/>
      <sheetName val="진천"/>
      <sheetName val="안양"/>
      <sheetName val="10.25"/>
      <sheetName val="신우"/>
      <sheetName val="한빛은행_종합2001"/>
      <sheetName val="总"/>
      <sheetName val="연령현황"/>
      <sheetName val="3월"/>
      <sheetName val="薬品リスト"/>
      <sheetName val="07제품별수익성"/>
      <sheetName val="노임단가"/>
      <sheetName val="단가조사"/>
      <sheetName val="시산표"/>
      <sheetName val="대구"/>
      <sheetName val="고합Ⅰ"/>
      <sheetName val="고합Ⅱ"/>
      <sheetName val="기준"/>
      <sheetName val="건축개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제품별수익성"/>
      <sheetName val="7월시장별제품별판매"/>
      <sheetName val="07SG&amp;A"/>
      <sheetName val="07피벗"/>
      <sheetName val="07DATA"/>
      <sheetName val="07EBIT"/>
      <sheetName val="07EBIT값"/>
      <sheetName val="special"/>
      <sheetName val="07판매"/>
      <sheetName val="07고객별 담당자"/>
      <sheetName val="CEM"/>
      <sheetName val="09년 AP(오덕현)"/>
      <sheetName val="#REF"/>
      <sheetName val="용연"/>
      <sheetName val="울산"/>
      <sheetName val="진천"/>
      <sheetName val="구미"/>
      <sheetName val="대구"/>
      <sheetName val="언양"/>
      <sheetName val="10고객별 담당자"/>
      <sheetName val="Macro"/>
      <sheetName val="04고객별 담당자"/>
      <sheetName val="인상안"/>
      <sheetName val="손익총괄"/>
      <sheetName val="수불부"/>
      <sheetName val="판매추이"/>
      <sheetName val="T&amp;C"/>
      <sheetName val="적용환율"/>
      <sheetName val="TNC(1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수설계"/>
      <sheetName val="JUYO"/>
      <sheetName val="CHAB"/>
      <sheetName val="중연"/>
      <sheetName val="판매12월"/>
      <sheetName val="본사인상전"/>
      <sheetName val="1_05고객별 담당자"/>
      <sheetName val="1_05수익성대비표"/>
      <sheetName val="비용"/>
      <sheetName val="내역"/>
      <sheetName val="Sheet1"/>
      <sheetName val="EX-R"/>
      <sheetName val="준공정산"/>
      <sheetName val="구미2월"/>
      <sheetName val="안양2월"/>
      <sheetName val="04고객별 담당자"/>
      <sheetName val="이론&amp;가동"/>
      <sheetName val="薬品リスト"/>
      <sheetName val="CHAB'00기준"/>
      <sheetName val="TNC(1안)"/>
      <sheetName val="복사표"/>
      <sheetName val="풍량"/>
      <sheetName val="Waste Recovery 일보"/>
      <sheetName val="용연"/>
      <sheetName val="#REF!"/>
      <sheetName val="인상효1"/>
      <sheetName val="태광"/>
      <sheetName val="220 (2)"/>
      <sheetName val="고합"/>
      <sheetName val="연선,습식_청도"/>
      <sheetName val="울산"/>
      <sheetName val="대구"/>
      <sheetName val="#REF"/>
      <sheetName val="01_12月_Lot별_판매실적.xls"/>
      <sheetName val="신임차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명"/>
      <sheetName val="213명"/>
      <sheetName val="220 (2)"/>
      <sheetName val="203명 (2)"/>
      <sheetName val="인원현황"/>
      <sheetName val="개요"/>
      <sheetName val="특강요지"/>
      <sheetName val="CHAB'00기준"/>
      <sheetName val="교수설계"/>
      <sheetName val="진천"/>
      <sheetName val="04고객별 담당자"/>
      <sheetName val="본사인상전"/>
      <sheetName val="판매추이"/>
    </sheetNames>
    <sheetDataSet>
      <sheetData sheetId="0"/>
      <sheetData sheetId="1"/>
      <sheetData sheetId="2" refreshError="1">
        <row r="7">
          <cell r="A7">
            <v>199</v>
          </cell>
          <cell r="B7" t="str">
            <v>김영은</v>
          </cell>
          <cell r="C7" t="str">
            <v>연세대</v>
          </cell>
          <cell r="D7" t="str">
            <v>건축공</v>
          </cell>
          <cell r="G7">
            <v>1</v>
          </cell>
          <cell r="H7" t="str">
            <v>02-3443-3534</v>
          </cell>
          <cell r="I7" t="str">
            <v>011-245-0259</v>
          </cell>
          <cell r="J7">
            <v>167</v>
          </cell>
          <cell r="K7">
            <v>54</v>
          </cell>
          <cell r="L7">
            <v>95</v>
          </cell>
        </row>
        <row r="8">
          <cell r="A8">
            <v>75</v>
          </cell>
          <cell r="B8" t="str">
            <v>송현주</v>
          </cell>
          <cell r="C8" t="str">
            <v>숙명여대</v>
          </cell>
          <cell r="D8" t="str">
            <v>국어(국문)</v>
          </cell>
          <cell r="G8">
            <v>2</v>
          </cell>
          <cell r="H8" t="str">
            <v>02-374-5561</v>
          </cell>
          <cell r="I8" t="str">
            <v>016-598-5032</v>
          </cell>
          <cell r="J8">
            <v>164</v>
          </cell>
          <cell r="K8">
            <v>50</v>
          </cell>
          <cell r="L8">
            <v>90</v>
          </cell>
        </row>
        <row r="9">
          <cell r="A9">
            <v>176</v>
          </cell>
          <cell r="B9" t="str">
            <v>최영혜</v>
          </cell>
          <cell r="C9" t="str">
            <v>연세대</v>
          </cell>
          <cell r="D9" t="str">
            <v>국어(국문)</v>
          </cell>
          <cell r="G9">
            <v>3</v>
          </cell>
          <cell r="H9" t="str">
            <v>02-386-1122</v>
          </cell>
          <cell r="I9" t="str">
            <v>011-9789-0076</v>
          </cell>
          <cell r="J9">
            <v>160</v>
          </cell>
          <cell r="K9">
            <v>45</v>
          </cell>
          <cell r="L9">
            <v>90</v>
          </cell>
        </row>
        <row r="10">
          <cell r="A10">
            <v>139</v>
          </cell>
          <cell r="B10" t="str">
            <v>임승신</v>
          </cell>
          <cell r="C10" t="str">
            <v>연세대</v>
          </cell>
          <cell r="D10" t="str">
            <v>독어(독문)</v>
          </cell>
          <cell r="G10">
            <v>4</v>
          </cell>
          <cell r="H10" t="str">
            <v>02-2646-4249</v>
          </cell>
          <cell r="I10" t="str">
            <v>019-688-0918</v>
          </cell>
          <cell r="J10">
            <v>160</v>
          </cell>
          <cell r="K10">
            <v>50</v>
          </cell>
          <cell r="L10">
            <v>90</v>
          </cell>
        </row>
        <row r="11">
          <cell r="A11">
            <v>116</v>
          </cell>
          <cell r="B11" t="str">
            <v>이상원</v>
          </cell>
          <cell r="C11" t="str">
            <v>서울대</v>
          </cell>
          <cell r="D11" t="str">
            <v>동양사학</v>
          </cell>
          <cell r="G11">
            <v>5</v>
          </cell>
          <cell r="H11" t="str">
            <v>02-871-1680</v>
          </cell>
          <cell r="I11" t="str">
            <v>017-390-1680</v>
          </cell>
          <cell r="J11">
            <v>170</v>
          </cell>
          <cell r="K11">
            <v>64</v>
          </cell>
          <cell r="L11">
            <v>95</v>
          </cell>
        </row>
        <row r="12">
          <cell r="A12">
            <v>147</v>
          </cell>
          <cell r="B12" t="str">
            <v>전주연</v>
          </cell>
          <cell r="C12" t="str">
            <v>연세대</v>
          </cell>
          <cell r="D12" t="str">
            <v>문헌정보</v>
          </cell>
          <cell r="G12">
            <v>6</v>
          </cell>
          <cell r="H12" t="str">
            <v>02-677-0118</v>
          </cell>
          <cell r="I12" t="str">
            <v>016-311-4701</v>
          </cell>
          <cell r="J12">
            <v>156</v>
          </cell>
          <cell r="K12">
            <v>53</v>
          </cell>
          <cell r="L12">
            <v>90</v>
          </cell>
        </row>
        <row r="13">
          <cell r="A13">
            <v>92</v>
          </cell>
          <cell r="B13" t="str">
            <v>오은영</v>
          </cell>
          <cell r="C13" t="str">
            <v>미국]Rutgers대</v>
          </cell>
          <cell r="D13" t="str">
            <v>불어</v>
          </cell>
          <cell r="G13">
            <v>7</v>
          </cell>
          <cell r="H13" t="str">
            <v>02-569-3631</v>
          </cell>
          <cell r="I13" t="str">
            <v>011-9744-3345</v>
          </cell>
          <cell r="J13">
            <v>163</v>
          </cell>
          <cell r="K13">
            <v>65</v>
          </cell>
          <cell r="L13">
            <v>90</v>
          </cell>
        </row>
        <row r="14">
          <cell r="A14">
            <v>73</v>
          </cell>
          <cell r="B14" t="str">
            <v>손지흔</v>
          </cell>
          <cell r="C14" t="str">
            <v>이화여대</v>
          </cell>
          <cell r="D14" t="str">
            <v>불어</v>
          </cell>
          <cell r="G14">
            <v>8</v>
          </cell>
          <cell r="H14" t="str">
            <v>02-449-4779</v>
          </cell>
          <cell r="I14" t="str">
            <v>011-303-4779</v>
          </cell>
          <cell r="J14">
            <v>155</v>
          </cell>
          <cell r="K14">
            <v>47</v>
          </cell>
          <cell r="L14">
            <v>90</v>
          </cell>
        </row>
        <row r="15">
          <cell r="A15">
            <v>32</v>
          </cell>
          <cell r="B15" t="str">
            <v>김지영</v>
          </cell>
          <cell r="C15" t="str">
            <v>이화여대</v>
          </cell>
          <cell r="D15" t="str">
            <v>불어</v>
          </cell>
          <cell r="G15">
            <v>9</v>
          </cell>
          <cell r="H15" t="str">
            <v>02-3461-7679</v>
          </cell>
          <cell r="I15" t="str">
            <v>015-8474-0737</v>
          </cell>
          <cell r="J15">
            <v>163</v>
          </cell>
          <cell r="K15">
            <v>53</v>
          </cell>
          <cell r="L15">
            <v>90</v>
          </cell>
        </row>
        <row r="16">
          <cell r="A16">
            <v>76</v>
          </cell>
          <cell r="B16" t="str">
            <v>신서현</v>
          </cell>
          <cell r="C16" t="str">
            <v>연세대</v>
          </cell>
          <cell r="D16" t="str">
            <v>사회복지</v>
          </cell>
          <cell r="G16">
            <v>10</v>
          </cell>
          <cell r="H16" t="str">
            <v>0343-381-9721</v>
          </cell>
          <cell r="I16" t="str">
            <v>011-248-8520</v>
          </cell>
          <cell r="J16">
            <v>168</v>
          </cell>
          <cell r="K16">
            <v>57</v>
          </cell>
          <cell r="L16">
            <v>95</v>
          </cell>
        </row>
        <row r="17">
          <cell r="A17">
            <v>44</v>
          </cell>
          <cell r="B17" t="str">
            <v>민병희</v>
          </cell>
          <cell r="C17" t="str">
            <v>이화여대</v>
          </cell>
          <cell r="D17" t="str">
            <v>사회복지</v>
          </cell>
          <cell r="G17">
            <v>11</v>
          </cell>
          <cell r="H17" t="str">
            <v>02-537-4257</v>
          </cell>
          <cell r="I17" t="str">
            <v>018-214-9501</v>
          </cell>
          <cell r="J17">
            <v>161</v>
          </cell>
          <cell r="K17">
            <v>51</v>
          </cell>
          <cell r="L17">
            <v>90</v>
          </cell>
        </row>
        <row r="18">
          <cell r="A18">
            <v>20</v>
          </cell>
          <cell r="B18" t="str">
            <v>남경우</v>
          </cell>
          <cell r="C18" t="str">
            <v>성균관대</v>
          </cell>
          <cell r="D18" t="str">
            <v>섬유</v>
          </cell>
          <cell r="E18" t="str">
            <v>성균관대</v>
          </cell>
          <cell r="F18" t="str">
            <v>섬유</v>
          </cell>
          <cell r="G18">
            <v>12</v>
          </cell>
          <cell r="I18" t="str">
            <v>017-267-2824</v>
          </cell>
          <cell r="M18" t="str">
            <v>연구소 채용자</v>
          </cell>
        </row>
        <row r="19">
          <cell r="A19">
            <v>163</v>
          </cell>
          <cell r="B19" t="str">
            <v>조장은</v>
          </cell>
          <cell r="C19" t="str">
            <v>고려대</v>
          </cell>
          <cell r="D19" t="str">
            <v>영어(영문)</v>
          </cell>
          <cell r="G19">
            <v>13</v>
          </cell>
          <cell r="H19" t="str">
            <v>02-2612-8498</v>
          </cell>
          <cell r="I19" t="str">
            <v>019-383-1485</v>
          </cell>
          <cell r="J19">
            <v>165</v>
          </cell>
          <cell r="K19">
            <v>53</v>
          </cell>
          <cell r="L19">
            <v>95</v>
          </cell>
        </row>
        <row r="20">
          <cell r="A20">
            <v>85</v>
          </cell>
          <cell r="B20" t="str">
            <v>양선이</v>
          </cell>
          <cell r="C20" t="str">
            <v>성균관대</v>
          </cell>
          <cell r="D20" t="str">
            <v>영어(영문)</v>
          </cell>
          <cell r="G20">
            <v>14</v>
          </cell>
          <cell r="H20" t="str">
            <v>0344-973-2930</v>
          </cell>
          <cell r="I20" t="str">
            <v>019-216-7623</v>
          </cell>
          <cell r="J20">
            <v>170</v>
          </cell>
          <cell r="K20">
            <v>55</v>
          </cell>
          <cell r="L20">
            <v>95</v>
          </cell>
        </row>
        <row r="21">
          <cell r="A21">
            <v>185</v>
          </cell>
          <cell r="B21" t="str">
            <v>한혜리</v>
          </cell>
          <cell r="C21" t="str">
            <v>숙명여대</v>
          </cell>
          <cell r="D21" t="str">
            <v>영어(영문)</v>
          </cell>
          <cell r="G21">
            <v>15</v>
          </cell>
          <cell r="H21" t="str">
            <v>0344-915-3744</v>
          </cell>
          <cell r="I21" t="str">
            <v>019-263-3744</v>
          </cell>
          <cell r="J21">
            <v>162</v>
          </cell>
          <cell r="K21">
            <v>47</v>
          </cell>
          <cell r="L21">
            <v>90</v>
          </cell>
        </row>
        <row r="22">
          <cell r="A22">
            <v>168</v>
          </cell>
          <cell r="B22" t="str">
            <v>지민선</v>
          </cell>
          <cell r="C22" t="str">
            <v>연세대</v>
          </cell>
          <cell r="D22" t="str">
            <v>영어(영문)</v>
          </cell>
          <cell r="G22">
            <v>16</v>
          </cell>
          <cell r="H22" t="str">
            <v>02-354-3900</v>
          </cell>
          <cell r="I22" t="str">
            <v>016-236-4802</v>
          </cell>
          <cell r="J22">
            <v>163</v>
          </cell>
          <cell r="K22">
            <v>48</v>
          </cell>
          <cell r="L22">
            <v>90</v>
          </cell>
        </row>
        <row r="23">
          <cell r="A23">
            <v>1</v>
          </cell>
          <cell r="B23" t="str">
            <v>권정교</v>
          </cell>
          <cell r="C23" t="str">
            <v>연세대</v>
          </cell>
          <cell r="D23" t="str">
            <v>영어(영문)</v>
          </cell>
          <cell r="G23">
            <v>17</v>
          </cell>
          <cell r="H23" t="str">
            <v>02-515-9011</v>
          </cell>
          <cell r="I23" t="str">
            <v>019-397-0325</v>
          </cell>
          <cell r="J23">
            <v>164</v>
          </cell>
          <cell r="K23">
            <v>47</v>
          </cell>
          <cell r="L23">
            <v>90</v>
          </cell>
          <cell r="M23" t="str">
            <v>추가자</v>
          </cell>
        </row>
        <row r="24">
          <cell r="A24">
            <v>82</v>
          </cell>
          <cell r="B24" t="str">
            <v>안지혜</v>
          </cell>
          <cell r="C24" t="str">
            <v>이화여대</v>
          </cell>
          <cell r="D24" t="str">
            <v>영어(영문)</v>
          </cell>
          <cell r="G24">
            <v>18</v>
          </cell>
          <cell r="H24" t="str">
            <v>02-2646-2927</v>
          </cell>
          <cell r="I24" t="str">
            <v>017-704-2927</v>
          </cell>
          <cell r="J24">
            <v>160</v>
          </cell>
          <cell r="K24">
            <v>45</v>
          </cell>
          <cell r="L24">
            <v>90</v>
          </cell>
        </row>
        <row r="25">
          <cell r="A25">
            <v>155</v>
          </cell>
          <cell r="B25" t="str">
            <v>정원원</v>
          </cell>
          <cell r="C25" t="str">
            <v>북경제2외국어대학</v>
          </cell>
          <cell r="D25" t="str">
            <v>외국어학</v>
          </cell>
          <cell r="G25">
            <v>19</v>
          </cell>
          <cell r="H25" t="str">
            <v>02-2299-7532</v>
          </cell>
          <cell r="I25" t="str">
            <v>019-301-9168</v>
          </cell>
          <cell r="J25">
            <v>161</v>
          </cell>
          <cell r="K25">
            <v>48</v>
          </cell>
          <cell r="L25">
            <v>90</v>
          </cell>
        </row>
        <row r="26">
          <cell r="A26">
            <v>69</v>
          </cell>
          <cell r="B26" t="str">
            <v>서연진</v>
          </cell>
          <cell r="C26" t="str">
            <v>서울대</v>
          </cell>
          <cell r="D26" t="str">
            <v>자원공</v>
          </cell>
          <cell r="G26">
            <v>20</v>
          </cell>
          <cell r="H26" t="str">
            <v>0344-916-0425</v>
          </cell>
          <cell r="I26" t="str">
            <v>011-9088-4894</v>
          </cell>
          <cell r="J26">
            <v>165</v>
          </cell>
          <cell r="K26">
            <v>76</v>
          </cell>
          <cell r="L26">
            <v>95</v>
          </cell>
        </row>
        <row r="27">
          <cell r="A27">
            <v>171</v>
          </cell>
          <cell r="B27" t="str">
            <v>최경향</v>
          </cell>
          <cell r="C27" t="str">
            <v>부산대</v>
          </cell>
          <cell r="D27" t="str">
            <v>전자계산</v>
          </cell>
          <cell r="G27">
            <v>21</v>
          </cell>
          <cell r="H27" t="str">
            <v>0561-772-1265</v>
          </cell>
          <cell r="I27" t="str">
            <v>016-568-1265</v>
          </cell>
          <cell r="J27">
            <v>160</v>
          </cell>
          <cell r="K27">
            <v>48</v>
          </cell>
          <cell r="L27">
            <v>90</v>
          </cell>
        </row>
        <row r="28">
          <cell r="A28">
            <v>149</v>
          </cell>
          <cell r="B28" t="str">
            <v>전혜윤</v>
          </cell>
          <cell r="C28" t="str">
            <v>이화여대</v>
          </cell>
          <cell r="D28" t="str">
            <v>전자계산</v>
          </cell>
          <cell r="G28">
            <v>22</v>
          </cell>
          <cell r="H28" t="str">
            <v>032-867-2189</v>
          </cell>
          <cell r="I28" t="str">
            <v>017-327-2189</v>
          </cell>
          <cell r="J28">
            <v>160</v>
          </cell>
          <cell r="K28">
            <v>57</v>
          </cell>
          <cell r="L28">
            <v>90</v>
          </cell>
        </row>
        <row r="29">
          <cell r="A29">
            <v>143</v>
          </cell>
          <cell r="B29" t="str">
            <v>장진경</v>
          </cell>
          <cell r="C29" t="str">
            <v>이화여대</v>
          </cell>
          <cell r="D29" t="str">
            <v>정보디자인</v>
          </cell>
          <cell r="G29">
            <v>23</v>
          </cell>
          <cell r="H29" t="str">
            <v>02-839-4765</v>
          </cell>
          <cell r="I29" t="str">
            <v>016-230-4765</v>
          </cell>
          <cell r="J29">
            <v>161</v>
          </cell>
          <cell r="K29">
            <v>45</v>
          </cell>
          <cell r="L29">
            <v>90</v>
          </cell>
        </row>
        <row r="30">
          <cell r="A30">
            <v>74</v>
          </cell>
          <cell r="B30" t="str">
            <v>송연승</v>
          </cell>
          <cell r="C30" t="str">
            <v>중국] 북경대</v>
          </cell>
          <cell r="D30" t="str">
            <v>중문과</v>
          </cell>
          <cell r="G30">
            <v>24</v>
          </cell>
          <cell r="H30" t="str">
            <v>02-3431-9483</v>
          </cell>
          <cell r="J30">
            <v>163</v>
          </cell>
          <cell r="K30">
            <v>48</v>
          </cell>
          <cell r="L30">
            <v>90</v>
          </cell>
        </row>
        <row r="31">
          <cell r="A31">
            <v>66</v>
          </cell>
          <cell r="B31" t="str">
            <v>백소영</v>
          </cell>
          <cell r="C31" t="str">
            <v>고려대</v>
          </cell>
          <cell r="D31" t="str">
            <v>철학</v>
          </cell>
          <cell r="G31">
            <v>25</v>
          </cell>
          <cell r="H31" t="str">
            <v>02-479-2520</v>
          </cell>
          <cell r="I31" t="str">
            <v>017-206-0629</v>
          </cell>
          <cell r="J31">
            <v>154</v>
          </cell>
          <cell r="K31">
            <v>43</v>
          </cell>
          <cell r="L31">
            <v>90</v>
          </cell>
        </row>
        <row r="32">
          <cell r="A32">
            <v>14</v>
          </cell>
          <cell r="B32" t="str">
            <v>김미지</v>
          </cell>
          <cell r="C32" t="str">
            <v>고려대</v>
          </cell>
          <cell r="D32" t="str">
            <v>철학</v>
          </cell>
          <cell r="G32">
            <v>26</v>
          </cell>
          <cell r="H32" t="str">
            <v>0344-912-3070</v>
          </cell>
          <cell r="I32" t="str">
            <v>017-254-1977</v>
          </cell>
          <cell r="J32">
            <v>155</v>
          </cell>
          <cell r="K32">
            <v>47</v>
          </cell>
          <cell r="L32">
            <v>90</v>
          </cell>
          <cell r="M32" t="str">
            <v>추가될 가능</v>
          </cell>
        </row>
        <row r="33">
          <cell r="A33">
            <v>174</v>
          </cell>
          <cell r="B33" t="str">
            <v>최선경</v>
          </cell>
          <cell r="C33" t="str">
            <v>한양대</v>
          </cell>
          <cell r="D33" t="str">
            <v>컴퓨터</v>
          </cell>
          <cell r="G33">
            <v>27</v>
          </cell>
          <cell r="H33" t="str">
            <v>032-348-5103</v>
          </cell>
          <cell r="I33" t="str">
            <v>017-347-2611</v>
          </cell>
          <cell r="J33">
            <v>160</v>
          </cell>
          <cell r="K33">
            <v>46</v>
          </cell>
          <cell r="L33">
            <v>90</v>
          </cell>
        </row>
        <row r="34">
          <cell r="A34">
            <v>19</v>
          </cell>
          <cell r="B34" t="str">
            <v>김승영</v>
          </cell>
          <cell r="C34" t="str">
            <v>연세대</v>
          </cell>
          <cell r="D34" t="str">
            <v>행정</v>
          </cell>
          <cell r="G34">
            <v>28</v>
          </cell>
          <cell r="H34" t="str">
            <v>02-3272-5609</v>
          </cell>
          <cell r="I34" t="str">
            <v>017-238-5609</v>
          </cell>
          <cell r="J34">
            <v>164</v>
          </cell>
          <cell r="K34">
            <v>48</v>
          </cell>
          <cell r="L34">
            <v>90</v>
          </cell>
        </row>
        <row r="35">
          <cell r="A35">
            <v>56</v>
          </cell>
          <cell r="B35" t="str">
            <v>박윤아</v>
          </cell>
          <cell r="C35" t="str">
            <v>중앙대</v>
          </cell>
          <cell r="D35" t="str">
            <v>화공</v>
          </cell>
          <cell r="G35">
            <v>29</v>
          </cell>
          <cell r="H35" t="str">
            <v>017-205-4741</v>
          </cell>
          <cell r="I35" t="str">
            <v>017-205-4741</v>
          </cell>
          <cell r="J35">
            <v>157</v>
          </cell>
          <cell r="K35">
            <v>45</v>
          </cell>
          <cell r="L35">
            <v>90</v>
          </cell>
        </row>
        <row r="36">
          <cell r="A36">
            <v>25</v>
          </cell>
          <cell r="B36" t="str">
            <v>김유란</v>
          </cell>
          <cell r="C36" t="str">
            <v>연세대</v>
          </cell>
          <cell r="D36" t="str">
            <v>화학</v>
          </cell>
          <cell r="G36">
            <v>30</v>
          </cell>
          <cell r="H36" t="str">
            <v>02-394-9215</v>
          </cell>
          <cell r="I36" t="str">
            <v>016-215-9215</v>
          </cell>
          <cell r="J36">
            <v>168</v>
          </cell>
          <cell r="K36">
            <v>50</v>
          </cell>
          <cell r="L36">
            <v>95</v>
          </cell>
        </row>
        <row r="37">
          <cell r="A37">
            <v>188</v>
          </cell>
          <cell r="B37" t="str">
            <v>홍수진</v>
          </cell>
          <cell r="C37" t="str">
            <v>연세대</v>
          </cell>
          <cell r="D37" t="str">
            <v>화학</v>
          </cell>
          <cell r="E37" t="str">
            <v>포항공대</v>
          </cell>
          <cell r="F37" t="str">
            <v>환경공학</v>
          </cell>
          <cell r="G37">
            <v>31</v>
          </cell>
          <cell r="H37" t="str">
            <v>0562-279-8318</v>
          </cell>
          <cell r="I37" t="str">
            <v>017-293-0702</v>
          </cell>
          <cell r="J37">
            <v>165</v>
          </cell>
          <cell r="K37">
            <v>59</v>
          </cell>
          <cell r="L37">
            <v>95</v>
          </cell>
        </row>
        <row r="38">
          <cell r="A38">
            <v>81</v>
          </cell>
          <cell r="B38" t="str">
            <v>안덕준</v>
          </cell>
          <cell r="C38" t="str">
            <v>한양대</v>
          </cell>
          <cell r="D38" t="str">
            <v>건축공</v>
          </cell>
          <cell r="H38" t="str">
            <v>0344-905-2758</v>
          </cell>
          <cell r="I38" t="str">
            <v>011-765-2758</v>
          </cell>
          <cell r="J38">
            <v>175</v>
          </cell>
          <cell r="K38">
            <v>65</v>
          </cell>
          <cell r="L38">
            <v>100</v>
          </cell>
        </row>
        <row r="39">
          <cell r="A39">
            <v>65</v>
          </cell>
          <cell r="B39" t="str">
            <v>백성원</v>
          </cell>
          <cell r="C39" t="str">
            <v>고려대</v>
          </cell>
          <cell r="D39" t="str">
            <v>건축공</v>
          </cell>
          <cell r="H39" t="str">
            <v>02-658-0335</v>
          </cell>
          <cell r="I39" t="str">
            <v>012-1891-8859</v>
          </cell>
          <cell r="J39">
            <v>173</v>
          </cell>
          <cell r="K39">
            <v>65</v>
          </cell>
          <cell r="L39">
            <v>100</v>
          </cell>
        </row>
        <row r="40">
          <cell r="A40">
            <v>165</v>
          </cell>
          <cell r="B40" t="str">
            <v>조준성</v>
          </cell>
          <cell r="C40" t="str">
            <v>연세대</v>
          </cell>
          <cell r="D40" t="str">
            <v>건축공</v>
          </cell>
          <cell r="H40" t="str">
            <v>02-685-1381</v>
          </cell>
          <cell r="I40" t="str">
            <v>011-356-1381</v>
          </cell>
          <cell r="J40">
            <v>180</v>
          </cell>
          <cell r="K40">
            <v>65</v>
          </cell>
          <cell r="L40">
            <v>105</v>
          </cell>
        </row>
        <row r="41">
          <cell r="A41">
            <v>18</v>
          </cell>
          <cell r="B41" t="str">
            <v>김세창</v>
          </cell>
          <cell r="C41" t="str">
            <v>한양대</v>
          </cell>
          <cell r="D41" t="str">
            <v>건축공</v>
          </cell>
          <cell r="H41" t="str">
            <v>02-941-7690</v>
          </cell>
          <cell r="I41" t="str">
            <v>016-730-7690</v>
          </cell>
          <cell r="J41">
            <v>168</v>
          </cell>
          <cell r="K41">
            <v>60</v>
          </cell>
          <cell r="L41">
            <v>95</v>
          </cell>
        </row>
        <row r="42">
          <cell r="A42">
            <v>53</v>
          </cell>
          <cell r="B42" t="str">
            <v>박영서</v>
          </cell>
          <cell r="C42" t="str">
            <v>한양대</v>
          </cell>
          <cell r="D42" t="str">
            <v>건축공</v>
          </cell>
          <cell r="H42" t="str">
            <v>032-463-1271</v>
          </cell>
          <cell r="I42" t="str">
            <v>019-361-9294</v>
          </cell>
          <cell r="J42">
            <v>178</v>
          </cell>
          <cell r="K42">
            <v>69</v>
          </cell>
          <cell r="L42">
            <v>105</v>
          </cell>
        </row>
        <row r="43">
          <cell r="A43">
            <v>156</v>
          </cell>
          <cell r="B43" t="str">
            <v>정철인</v>
          </cell>
          <cell r="C43" t="str">
            <v>한양대</v>
          </cell>
          <cell r="D43" t="str">
            <v>건축공</v>
          </cell>
          <cell r="H43" t="str">
            <v>02-2275-1066</v>
          </cell>
          <cell r="I43" t="str">
            <v>011-9003-1066</v>
          </cell>
          <cell r="J43">
            <v>178</v>
          </cell>
          <cell r="K43">
            <v>68</v>
          </cell>
          <cell r="L43">
            <v>105</v>
          </cell>
        </row>
        <row r="44">
          <cell r="A44">
            <v>145</v>
          </cell>
          <cell r="B44" t="str">
            <v>전상원</v>
          </cell>
          <cell r="C44" t="str">
            <v>건국대</v>
          </cell>
          <cell r="D44" t="str">
            <v>경영</v>
          </cell>
          <cell r="H44" t="str">
            <v>0342-714-1026</v>
          </cell>
          <cell r="I44" t="str">
            <v>017-286-2792</v>
          </cell>
          <cell r="J44">
            <v>176</v>
          </cell>
          <cell r="K44">
            <v>74</v>
          </cell>
          <cell r="L44">
            <v>105</v>
          </cell>
        </row>
        <row r="45">
          <cell r="A45">
            <v>16</v>
          </cell>
          <cell r="B45" t="str">
            <v>김성중</v>
          </cell>
          <cell r="C45" t="str">
            <v>고려대</v>
          </cell>
          <cell r="D45" t="str">
            <v>경영</v>
          </cell>
          <cell r="H45" t="str">
            <v>02-763-2150</v>
          </cell>
          <cell r="I45" t="str">
            <v>016-599-2150</v>
          </cell>
          <cell r="J45">
            <v>173</v>
          </cell>
          <cell r="K45">
            <v>68</v>
          </cell>
          <cell r="L45">
            <v>100</v>
          </cell>
        </row>
        <row r="46">
          <cell r="A46">
            <v>140</v>
          </cell>
          <cell r="B46" t="str">
            <v>장경필</v>
          </cell>
          <cell r="C46" t="str">
            <v>고려대</v>
          </cell>
          <cell r="D46" t="str">
            <v>경영</v>
          </cell>
          <cell r="H46" t="str">
            <v>02-2612-3920</v>
          </cell>
          <cell r="I46" t="str">
            <v>019-254-3920</v>
          </cell>
          <cell r="J46">
            <v>178</v>
          </cell>
          <cell r="K46">
            <v>76</v>
          </cell>
          <cell r="L46">
            <v>105</v>
          </cell>
        </row>
        <row r="47">
          <cell r="A47">
            <v>62</v>
          </cell>
          <cell r="B47" t="str">
            <v>배성필</v>
          </cell>
          <cell r="C47" t="str">
            <v>고려대</v>
          </cell>
          <cell r="D47" t="str">
            <v>경영</v>
          </cell>
          <cell r="H47" t="str">
            <v>0334-962-8152</v>
          </cell>
          <cell r="I47" t="str">
            <v>019-296-8152</v>
          </cell>
          <cell r="J47">
            <v>186</v>
          </cell>
          <cell r="K47">
            <v>66</v>
          </cell>
          <cell r="L47">
            <v>110</v>
          </cell>
        </row>
        <row r="48">
          <cell r="A48">
            <v>129</v>
          </cell>
          <cell r="B48" t="str">
            <v>이정훈</v>
          </cell>
          <cell r="C48" t="str">
            <v>부산대</v>
          </cell>
          <cell r="D48" t="str">
            <v>경영</v>
          </cell>
          <cell r="E48" t="str">
            <v>부산대</v>
          </cell>
          <cell r="F48" t="str">
            <v>경영</v>
          </cell>
          <cell r="H48" t="str">
            <v>051-754-2281</v>
          </cell>
          <cell r="I48" t="str">
            <v>016-852-2281</v>
          </cell>
          <cell r="J48">
            <v>175</v>
          </cell>
          <cell r="K48">
            <v>60</v>
          </cell>
          <cell r="L48">
            <v>100</v>
          </cell>
        </row>
        <row r="49">
          <cell r="A49">
            <v>5</v>
          </cell>
          <cell r="B49" t="str">
            <v>강성철</v>
          </cell>
          <cell r="C49" t="str">
            <v>서울대</v>
          </cell>
          <cell r="D49" t="str">
            <v>경영</v>
          </cell>
          <cell r="H49" t="str">
            <v>032-435-5986</v>
          </cell>
          <cell r="J49">
            <v>170</v>
          </cell>
          <cell r="K49">
            <v>74</v>
          </cell>
          <cell r="L49">
            <v>100</v>
          </cell>
        </row>
        <row r="50">
          <cell r="A50">
            <v>86</v>
          </cell>
          <cell r="B50" t="str">
            <v>양정모</v>
          </cell>
          <cell r="C50" t="str">
            <v>연세대</v>
          </cell>
          <cell r="D50" t="str">
            <v>경영</v>
          </cell>
          <cell r="H50" t="str">
            <v>0342-748-0799</v>
          </cell>
          <cell r="I50" t="str">
            <v>019-317-0799</v>
          </cell>
          <cell r="J50">
            <v>170</v>
          </cell>
          <cell r="K50">
            <v>62</v>
          </cell>
          <cell r="L50">
            <v>95</v>
          </cell>
        </row>
        <row r="51">
          <cell r="A51">
            <v>22</v>
          </cell>
          <cell r="B51" t="str">
            <v>김연수</v>
          </cell>
          <cell r="C51" t="str">
            <v>연세대</v>
          </cell>
          <cell r="D51" t="str">
            <v>경영</v>
          </cell>
          <cell r="E51" t="str">
            <v>연세대</v>
          </cell>
          <cell r="F51" t="str">
            <v>경영</v>
          </cell>
          <cell r="H51" t="str">
            <v>0342-716-4796</v>
          </cell>
          <cell r="I51" t="str">
            <v>011-247-4796</v>
          </cell>
          <cell r="J51">
            <v>173</v>
          </cell>
          <cell r="K51">
            <v>76</v>
          </cell>
          <cell r="L51">
            <v>100</v>
          </cell>
        </row>
        <row r="52">
          <cell r="A52">
            <v>33</v>
          </cell>
          <cell r="B52" t="str">
            <v>김진욱</v>
          </cell>
          <cell r="C52" t="str">
            <v>연세대</v>
          </cell>
          <cell r="D52" t="str">
            <v>경영</v>
          </cell>
          <cell r="E52" t="str">
            <v>연세대</v>
          </cell>
          <cell r="F52" t="str">
            <v>경영</v>
          </cell>
          <cell r="H52" t="str">
            <v>514-7471</v>
          </cell>
          <cell r="I52" t="str">
            <v>011-738-2280</v>
          </cell>
          <cell r="J52">
            <v>174</v>
          </cell>
          <cell r="K52">
            <v>61</v>
          </cell>
          <cell r="L52">
            <v>100</v>
          </cell>
        </row>
        <row r="53">
          <cell r="A53">
            <v>45</v>
          </cell>
          <cell r="B53" t="str">
            <v>박건욱</v>
          </cell>
          <cell r="C53" t="str">
            <v>연세대</v>
          </cell>
          <cell r="D53" t="str">
            <v>경영</v>
          </cell>
          <cell r="H53" t="str">
            <v>02-3141-4284</v>
          </cell>
          <cell r="I53" t="str">
            <v>016-334-4284</v>
          </cell>
          <cell r="J53">
            <v>174</v>
          </cell>
          <cell r="K53">
            <v>77</v>
          </cell>
          <cell r="L53">
            <v>100</v>
          </cell>
        </row>
        <row r="54">
          <cell r="A54">
            <v>60</v>
          </cell>
          <cell r="B54" t="str">
            <v>박창현</v>
          </cell>
          <cell r="C54" t="str">
            <v>연세대</v>
          </cell>
          <cell r="D54" t="str">
            <v>경영</v>
          </cell>
          <cell r="H54" t="str">
            <v>02-359-3992</v>
          </cell>
          <cell r="I54" t="str">
            <v>016-711-6994</v>
          </cell>
          <cell r="J54">
            <v>173</v>
          </cell>
          <cell r="K54">
            <v>68</v>
          </cell>
          <cell r="L54">
            <v>100</v>
          </cell>
        </row>
        <row r="55">
          <cell r="A55">
            <v>107</v>
          </cell>
          <cell r="B55" t="str">
            <v>윤종문</v>
          </cell>
          <cell r="C55" t="str">
            <v>연세대</v>
          </cell>
          <cell r="D55" t="str">
            <v>경영</v>
          </cell>
          <cell r="E55" t="str">
            <v>연세대</v>
          </cell>
          <cell r="H55" t="str">
            <v>0343-382-1677</v>
          </cell>
          <cell r="I55" t="str">
            <v>011-259-1677</v>
          </cell>
          <cell r="J55">
            <v>173</v>
          </cell>
          <cell r="K55">
            <v>88</v>
          </cell>
          <cell r="L55">
            <v>100</v>
          </cell>
        </row>
        <row r="56">
          <cell r="A56">
            <v>187</v>
          </cell>
          <cell r="B56" t="str">
            <v>홍관석</v>
          </cell>
          <cell r="C56" t="str">
            <v>연세대</v>
          </cell>
          <cell r="D56" t="str">
            <v>경영</v>
          </cell>
          <cell r="H56" t="str">
            <v>02-537-2871</v>
          </cell>
          <cell r="I56" t="str">
            <v>019-350-2871</v>
          </cell>
          <cell r="J56">
            <v>173</v>
          </cell>
          <cell r="K56">
            <v>70</v>
          </cell>
          <cell r="L56">
            <v>100</v>
          </cell>
        </row>
        <row r="57">
          <cell r="A57">
            <v>112</v>
          </cell>
          <cell r="B57" t="str">
            <v>이광호</v>
          </cell>
          <cell r="C57" t="str">
            <v>연세대</v>
          </cell>
          <cell r="D57" t="str">
            <v>경영</v>
          </cell>
          <cell r="E57" t="str">
            <v>연세대</v>
          </cell>
          <cell r="F57" t="str">
            <v>경영</v>
          </cell>
          <cell r="H57" t="str">
            <v>0343-452-4271</v>
          </cell>
          <cell r="I57" t="str">
            <v>017-744-1312</v>
          </cell>
          <cell r="J57">
            <v>177</v>
          </cell>
          <cell r="K57">
            <v>72</v>
          </cell>
          <cell r="L57">
            <v>105</v>
          </cell>
        </row>
        <row r="58">
          <cell r="A58">
            <v>178</v>
          </cell>
          <cell r="B58" t="str">
            <v>최윤창</v>
          </cell>
          <cell r="C58" t="str">
            <v>연세대</v>
          </cell>
          <cell r="D58" t="str">
            <v>경영</v>
          </cell>
          <cell r="I58" t="str">
            <v>011-9610-3721</v>
          </cell>
          <cell r="J58">
            <v>178</v>
          </cell>
          <cell r="K58">
            <v>67</v>
          </cell>
          <cell r="L58">
            <v>105</v>
          </cell>
        </row>
        <row r="59">
          <cell r="A59">
            <v>2</v>
          </cell>
          <cell r="B59" t="str">
            <v>김재훈</v>
          </cell>
          <cell r="C59" t="str">
            <v>연세대</v>
          </cell>
          <cell r="D59" t="str">
            <v>경영</v>
          </cell>
          <cell r="H59" t="str">
            <v>0371-764-0415</v>
          </cell>
          <cell r="I59" t="str">
            <v>011-229-8005</v>
          </cell>
          <cell r="J59">
            <v>180</v>
          </cell>
          <cell r="K59">
            <v>78</v>
          </cell>
          <cell r="L59">
            <v>105</v>
          </cell>
          <cell r="M59" t="str">
            <v>추가자</v>
          </cell>
        </row>
        <row r="60">
          <cell r="A60">
            <v>84</v>
          </cell>
          <cell r="B60" t="str">
            <v>양대규</v>
          </cell>
          <cell r="C60" t="str">
            <v>연세대</v>
          </cell>
          <cell r="D60" t="str">
            <v>경영</v>
          </cell>
          <cell r="H60" t="str">
            <v>051-893-3457</v>
          </cell>
          <cell r="I60" t="str">
            <v>011-248-1794</v>
          </cell>
          <cell r="J60">
            <v>186</v>
          </cell>
          <cell r="K60">
            <v>85</v>
          </cell>
          <cell r="L60">
            <v>110</v>
          </cell>
        </row>
        <row r="61">
          <cell r="A61">
            <v>87</v>
          </cell>
          <cell r="B61" t="str">
            <v>양흥규</v>
          </cell>
          <cell r="C61" t="str">
            <v>연세대</v>
          </cell>
          <cell r="D61" t="str">
            <v>경영</v>
          </cell>
          <cell r="H61" t="str">
            <v>0371-766-4524</v>
          </cell>
          <cell r="I61" t="str">
            <v>017-503-5845</v>
          </cell>
          <cell r="J61">
            <v>183</v>
          </cell>
          <cell r="K61">
            <v>88</v>
          </cell>
          <cell r="L61">
            <v>110</v>
          </cell>
        </row>
        <row r="62">
          <cell r="A62">
            <v>6</v>
          </cell>
          <cell r="B62" t="str">
            <v>정성진</v>
          </cell>
          <cell r="C62" t="str">
            <v>고려대</v>
          </cell>
          <cell r="D62" t="str">
            <v>경영</v>
          </cell>
          <cell r="I62" t="str">
            <v>011-326-2624</v>
          </cell>
          <cell r="J62">
            <v>170</v>
          </cell>
          <cell r="K62">
            <v>74</v>
          </cell>
          <cell r="L62">
            <v>95</v>
          </cell>
          <cell r="M62" t="str">
            <v>추가자</v>
          </cell>
        </row>
        <row r="63">
          <cell r="A63">
            <v>58</v>
          </cell>
          <cell r="B63" t="str">
            <v>박재혁</v>
          </cell>
          <cell r="C63" t="str">
            <v>고려대(분교)</v>
          </cell>
          <cell r="D63" t="str">
            <v>경영</v>
          </cell>
          <cell r="H63" t="str">
            <v>051-701-9190</v>
          </cell>
          <cell r="I63" t="str">
            <v>016-561-9091</v>
          </cell>
          <cell r="J63">
            <v>181</v>
          </cell>
          <cell r="K63">
            <v>70</v>
          </cell>
          <cell r="L63">
            <v>110</v>
          </cell>
        </row>
        <row r="64">
          <cell r="A64">
            <v>91</v>
          </cell>
          <cell r="B64" t="str">
            <v>오영우</v>
          </cell>
          <cell r="C64" t="str">
            <v>경희대</v>
          </cell>
          <cell r="D64" t="str">
            <v>경제</v>
          </cell>
          <cell r="H64" t="str">
            <v>0331-241-6962</v>
          </cell>
          <cell r="I64" t="str">
            <v>017-342-6962</v>
          </cell>
          <cell r="J64">
            <v>176</v>
          </cell>
          <cell r="K64">
            <v>69</v>
          </cell>
          <cell r="L64">
            <v>105</v>
          </cell>
        </row>
        <row r="65">
          <cell r="A65">
            <v>16</v>
          </cell>
          <cell r="B65" t="str">
            <v>염동성</v>
          </cell>
          <cell r="C65" t="str">
            <v>경희대</v>
          </cell>
          <cell r="D65" t="str">
            <v>경제</v>
          </cell>
          <cell r="H65" t="str">
            <v>02-584-7997</v>
          </cell>
          <cell r="I65" t="str">
            <v>019-211-5499</v>
          </cell>
          <cell r="M65" t="str">
            <v>추가될 가능</v>
          </cell>
        </row>
        <row r="66">
          <cell r="A66">
            <v>47</v>
          </cell>
          <cell r="B66" t="str">
            <v>박광수</v>
          </cell>
          <cell r="C66" t="str">
            <v>성균관대</v>
          </cell>
          <cell r="D66" t="str">
            <v>경제</v>
          </cell>
          <cell r="H66" t="str">
            <v>02-2637-6600</v>
          </cell>
          <cell r="I66" t="str">
            <v>017-420-2298</v>
          </cell>
          <cell r="J66">
            <v>172</v>
          </cell>
          <cell r="K66">
            <v>62</v>
          </cell>
          <cell r="L66">
            <v>100</v>
          </cell>
        </row>
        <row r="67">
          <cell r="A67">
            <v>20</v>
          </cell>
          <cell r="B67" t="str">
            <v>김승욱</v>
          </cell>
          <cell r="C67" t="str">
            <v>연세대</v>
          </cell>
          <cell r="D67" t="str">
            <v>경제</v>
          </cell>
          <cell r="H67" t="str">
            <v>02-778-2460</v>
          </cell>
          <cell r="I67" t="str">
            <v>017-287-2460</v>
          </cell>
          <cell r="J67">
            <v>175</v>
          </cell>
          <cell r="K67">
            <v>56</v>
          </cell>
          <cell r="L67">
            <v>100</v>
          </cell>
        </row>
        <row r="68">
          <cell r="A68">
            <v>57</v>
          </cell>
          <cell r="B68" t="str">
            <v>박재병</v>
          </cell>
          <cell r="C68" t="str">
            <v>연세대</v>
          </cell>
          <cell r="D68" t="str">
            <v>경제</v>
          </cell>
          <cell r="H68" t="str">
            <v>02-3481-1378</v>
          </cell>
          <cell r="I68" t="str">
            <v>011-9754-3470</v>
          </cell>
          <cell r="J68">
            <v>182</v>
          </cell>
          <cell r="K68">
            <v>65</v>
          </cell>
          <cell r="L68">
            <v>110</v>
          </cell>
        </row>
        <row r="69">
          <cell r="A69">
            <v>136</v>
          </cell>
          <cell r="B69" t="str">
            <v>이형주</v>
          </cell>
          <cell r="C69" t="str">
            <v>인하대</v>
          </cell>
          <cell r="D69" t="str">
            <v>고분자</v>
          </cell>
          <cell r="E69" t="str">
            <v>인하대</v>
          </cell>
          <cell r="F69" t="str">
            <v>고분자</v>
          </cell>
          <cell r="H69" t="str">
            <v>032-860-7484</v>
          </cell>
          <cell r="I69" t="str">
            <v>017-207-6013</v>
          </cell>
          <cell r="J69">
            <v>168</v>
          </cell>
          <cell r="K69">
            <v>68</v>
          </cell>
          <cell r="L69">
            <v>95</v>
          </cell>
        </row>
        <row r="70">
          <cell r="A70">
            <v>119</v>
          </cell>
          <cell r="B70" t="str">
            <v>이송길</v>
          </cell>
          <cell r="C70" t="str">
            <v>한양대</v>
          </cell>
          <cell r="D70" t="str">
            <v>공업화학</v>
          </cell>
          <cell r="E70" t="str">
            <v>서울대</v>
          </cell>
          <cell r="F70" t="str">
            <v>화학</v>
          </cell>
          <cell r="H70" t="str">
            <v>02-2607-7918</v>
          </cell>
          <cell r="I70" t="str">
            <v>-</v>
          </cell>
          <cell r="J70">
            <v>166</v>
          </cell>
          <cell r="K70">
            <v>58</v>
          </cell>
          <cell r="L70">
            <v>95</v>
          </cell>
        </row>
        <row r="71">
          <cell r="A71">
            <v>130</v>
          </cell>
          <cell r="B71" t="str">
            <v>이준석</v>
          </cell>
          <cell r="C71" t="str">
            <v>한양대</v>
          </cell>
          <cell r="D71" t="str">
            <v>공업화학</v>
          </cell>
          <cell r="E71" t="str">
            <v>한양대</v>
          </cell>
          <cell r="F71" t="str">
            <v>공업화학</v>
          </cell>
          <cell r="H71" t="str">
            <v>02-2290-0526</v>
          </cell>
          <cell r="I71" t="str">
            <v>016-284-6903</v>
          </cell>
          <cell r="J71">
            <v>176</v>
          </cell>
          <cell r="K71">
            <v>76</v>
          </cell>
          <cell r="L71">
            <v>105</v>
          </cell>
        </row>
        <row r="72">
          <cell r="A72">
            <v>152</v>
          </cell>
          <cell r="B72" t="str">
            <v>정석균</v>
          </cell>
          <cell r="C72" t="str">
            <v>한양대</v>
          </cell>
          <cell r="D72" t="str">
            <v>공업화학</v>
          </cell>
          <cell r="E72" t="str">
            <v>한양대</v>
          </cell>
          <cell r="F72" t="str">
            <v>공업화학</v>
          </cell>
          <cell r="H72" t="str">
            <v>0344-973-6326</v>
          </cell>
          <cell r="I72" t="str">
            <v>016-371-5503</v>
          </cell>
          <cell r="J72">
            <v>178</v>
          </cell>
          <cell r="K72">
            <v>80</v>
          </cell>
          <cell r="L72">
            <v>105</v>
          </cell>
        </row>
        <row r="73">
          <cell r="A73">
            <v>123</v>
          </cell>
          <cell r="B73" t="str">
            <v>이용환</v>
          </cell>
          <cell r="C73" t="str">
            <v>서울대</v>
          </cell>
          <cell r="D73" t="str">
            <v>국사</v>
          </cell>
          <cell r="H73" t="str">
            <v>02-872-8749</v>
          </cell>
          <cell r="I73" t="str">
            <v>011-9009-0506</v>
          </cell>
          <cell r="J73">
            <v>172</v>
          </cell>
          <cell r="K73">
            <v>75</v>
          </cell>
          <cell r="L73">
            <v>105</v>
          </cell>
        </row>
        <row r="74">
          <cell r="A74">
            <v>4</v>
          </cell>
          <cell r="B74" t="str">
            <v>이병득</v>
          </cell>
          <cell r="C74" t="str">
            <v>서울대</v>
          </cell>
          <cell r="D74" t="str">
            <v>국사</v>
          </cell>
          <cell r="H74" t="str">
            <v>(02)2602-8732</v>
          </cell>
          <cell r="I74" t="str">
            <v>015-7707-8732</v>
          </cell>
          <cell r="J74">
            <v>185</v>
          </cell>
          <cell r="K74">
            <v>97</v>
          </cell>
          <cell r="L74">
            <v>110</v>
          </cell>
          <cell r="M74" t="str">
            <v>추가자</v>
          </cell>
        </row>
        <row r="75">
          <cell r="A75">
            <v>101</v>
          </cell>
          <cell r="B75" t="str">
            <v>유종순</v>
          </cell>
          <cell r="C75" t="str">
            <v>고려대</v>
          </cell>
          <cell r="D75" t="str">
            <v>국어교육</v>
          </cell>
          <cell r="H75" t="str">
            <v>0351-875-8201</v>
          </cell>
          <cell r="I75" t="str">
            <v>019-389-2532</v>
          </cell>
          <cell r="J75">
            <v>170</v>
          </cell>
          <cell r="K75">
            <v>62</v>
          </cell>
          <cell r="L75">
            <v>95</v>
          </cell>
        </row>
        <row r="76">
          <cell r="A76">
            <v>111</v>
          </cell>
          <cell r="B76" t="str">
            <v>이관훈</v>
          </cell>
          <cell r="C76" t="str">
            <v>고려대</v>
          </cell>
          <cell r="D76" t="str">
            <v>금속공</v>
          </cell>
          <cell r="H76" t="str">
            <v>0343-394-0708</v>
          </cell>
          <cell r="I76" t="str">
            <v>017-280-6433</v>
          </cell>
          <cell r="J76">
            <v>180</v>
          </cell>
          <cell r="K76">
            <v>90</v>
          </cell>
          <cell r="L76">
            <v>105</v>
          </cell>
        </row>
        <row r="77">
          <cell r="A77">
            <v>133</v>
          </cell>
          <cell r="B77" t="str">
            <v>이충열</v>
          </cell>
          <cell r="C77" t="str">
            <v>성균관대</v>
          </cell>
          <cell r="D77" t="str">
            <v>금속공</v>
          </cell>
          <cell r="E77" t="str">
            <v>포항공대</v>
          </cell>
          <cell r="F77" t="str">
            <v>재료금속공학</v>
          </cell>
          <cell r="H77" t="str">
            <v>0562-279-2810</v>
          </cell>
          <cell r="I77" t="str">
            <v>017-577-2060</v>
          </cell>
          <cell r="J77">
            <v>179</v>
          </cell>
          <cell r="K77">
            <v>70</v>
          </cell>
          <cell r="L77">
            <v>105</v>
          </cell>
        </row>
        <row r="78">
          <cell r="A78">
            <v>118</v>
          </cell>
          <cell r="B78" t="str">
            <v>이성민</v>
          </cell>
          <cell r="C78" t="str">
            <v>연세대</v>
          </cell>
          <cell r="D78" t="str">
            <v>금속공</v>
          </cell>
          <cell r="H78" t="str">
            <v>02-882-4108</v>
          </cell>
          <cell r="I78" t="str">
            <v>011-440-4108</v>
          </cell>
          <cell r="J78">
            <v>173</v>
          </cell>
          <cell r="K78">
            <v>56</v>
          </cell>
          <cell r="L78">
            <v>100</v>
          </cell>
        </row>
        <row r="79">
          <cell r="A79">
            <v>94</v>
          </cell>
          <cell r="B79" t="str">
            <v>오창혁</v>
          </cell>
          <cell r="C79" t="str">
            <v>한양대</v>
          </cell>
          <cell r="D79" t="str">
            <v>금속재료</v>
          </cell>
          <cell r="E79" t="str">
            <v>포항공대</v>
          </cell>
          <cell r="F79" t="str">
            <v>금속공학</v>
          </cell>
          <cell r="H79" t="str">
            <v>0561-749-3508</v>
          </cell>
          <cell r="I79" t="str">
            <v>017-803-3508</v>
          </cell>
          <cell r="J79">
            <v>177</v>
          </cell>
          <cell r="K79">
            <v>76</v>
          </cell>
          <cell r="L79">
            <v>105</v>
          </cell>
        </row>
        <row r="80">
          <cell r="A80">
            <v>21</v>
          </cell>
          <cell r="B80" t="str">
            <v>김양근</v>
          </cell>
          <cell r="C80" t="str">
            <v>고려대</v>
          </cell>
          <cell r="D80" t="str">
            <v>기계</v>
          </cell>
          <cell r="H80" t="str">
            <v>02-313-5918</v>
          </cell>
          <cell r="I80" t="str">
            <v>017-747-5918</v>
          </cell>
          <cell r="J80">
            <v>174</v>
          </cell>
          <cell r="K80">
            <v>60</v>
          </cell>
          <cell r="L80">
            <v>100</v>
          </cell>
        </row>
        <row r="81">
          <cell r="A81">
            <v>70</v>
          </cell>
          <cell r="B81" t="str">
            <v>서은국</v>
          </cell>
          <cell r="C81" t="str">
            <v>금오공대</v>
          </cell>
          <cell r="D81" t="str">
            <v>기계</v>
          </cell>
          <cell r="H81" t="str">
            <v>(0546)461-2596</v>
          </cell>
          <cell r="I81" t="str">
            <v>019-501-2596</v>
          </cell>
          <cell r="J81">
            <v>168</v>
          </cell>
          <cell r="K81">
            <v>65</v>
          </cell>
          <cell r="L81">
            <v>95</v>
          </cell>
        </row>
        <row r="82">
          <cell r="A82">
            <v>35</v>
          </cell>
          <cell r="B82" t="str">
            <v>김현경</v>
          </cell>
          <cell r="C82" t="str">
            <v>단국대</v>
          </cell>
          <cell r="D82" t="str">
            <v>기계</v>
          </cell>
          <cell r="E82" t="str">
            <v>중앙대</v>
          </cell>
          <cell r="F82" t="str">
            <v>기계</v>
          </cell>
          <cell r="H82" t="str">
            <v>02-521-2103</v>
          </cell>
          <cell r="I82" t="str">
            <v>017-657-2103</v>
          </cell>
          <cell r="J82">
            <v>171</v>
          </cell>
          <cell r="K82">
            <v>62</v>
          </cell>
          <cell r="L82">
            <v>100</v>
          </cell>
        </row>
        <row r="83">
          <cell r="A83">
            <v>151</v>
          </cell>
          <cell r="B83" t="str">
            <v>정상훈</v>
          </cell>
          <cell r="C83" t="str">
            <v>부산대</v>
          </cell>
          <cell r="D83" t="str">
            <v>기계</v>
          </cell>
          <cell r="H83" t="str">
            <v>051-623-6520</v>
          </cell>
          <cell r="I83" t="str">
            <v>018-214-6520</v>
          </cell>
          <cell r="J83">
            <v>174</v>
          </cell>
          <cell r="K83">
            <v>72</v>
          </cell>
          <cell r="L83">
            <v>100</v>
          </cell>
        </row>
        <row r="84">
          <cell r="A84">
            <v>124</v>
          </cell>
          <cell r="B84" t="str">
            <v>이원용</v>
          </cell>
          <cell r="C84" t="str">
            <v>부산대</v>
          </cell>
          <cell r="D84" t="str">
            <v>기계</v>
          </cell>
          <cell r="H84" t="str">
            <v>051-524-8744</v>
          </cell>
          <cell r="I84" t="str">
            <v>011-869-8744</v>
          </cell>
          <cell r="J84">
            <v>175</v>
          </cell>
          <cell r="K84">
            <v>82</v>
          </cell>
          <cell r="L84">
            <v>105</v>
          </cell>
        </row>
        <row r="85">
          <cell r="A85">
            <v>166</v>
          </cell>
          <cell r="B85" t="str">
            <v>조현우</v>
          </cell>
          <cell r="C85" t="str">
            <v>서강대</v>
          </cell>
          <cell r="D85" t="str">
            <v>기계</v>
          </cell>
          <cell r="H85" t="str">
            <v>02-557-5539</v>
          </cell>
          <cell r="I85" t="str">
            <v>016-706-5036</v>
          </cell>
          <cell r="J85">
            <v>175</v>
          </cell>
          <cell r="K85">
            <v>60</v>
          </cell>
          <cell r="L85">
            <v>100</v>
          </cell>
        </row>
        <row r="86">
          <cell r="A86">
            <v>150</v>
          </cell>
          <cell r="B86" t="str">
            <v>정병모</v>
          </cell>
          <cell r="C86" t="str">
            <v>성균관대</v>
          </cell>
          <cell r="D86" t="str">
            <v>기계</v>
          </cell>
          <cell r="H86" t="str">
            <v>02-833-0843</v>
          </cell>
          <cell r="I86" t="str">
            <v>017-218-0843</v>
          </cell>
          <cell r="J86">
            <v>178</v>
          </cell>
          <cell r="K86">
            <v>83</v>
          </cell>
          <cell r="L86">
            <v>105</v>
          </cell>
        </row>
        <row r="87">
          <cell r="A87">
            <v>159</v>
          </cell>
          <cell r="B87" t="str">
            <v>조낙근</v>
          </cell>
          <cell r="C87" t="str">
            <v>연세대</v>
          </cell>
          <cell r="D87" t="str">
            <v>기계</v>
          </cell>
          <cell r="H87" t="str">
            <v>032-471-1622</v>
          </cell>
          <cell r="I87" t="str">
            <v>012-1156-1622</v>
          </cell>
          <cell r="J87">
            <v>163</v>
          </cell>
          <cell r="K87">
            <v>57</v>
          </cell>
          <cell r="L87">
            <v>90</v>
          </cell>
        </row>
        <row r="88">
          <cell r="A88">
            <v>134</v>
          </cell>
          <cell r="B88" t="str">
            <v>이현주</v>
          </cell>
          <cell r="C88" t="str">
            <v>연세대</v>
          </cell>
          <cell r="D88" t="str">
            <v>기계</v>
          </cell>
          <cell r="E88" t="str">
            <v>연세대</v>
          </cell>
          <cell r="F88" t="str">
            <v>기계</v>
          </cell>
          <cell r="H88" t="str">
            <v>02-361-4811</v>
          </cell>
          <cell r="I88" t="str">
            <v>012-1839-1821</v>
          </cell>
          <cell r="J88">
            <v>170</v>
          </cell>
          <cell r="K88">
            <v>61</v>
          </cell>
          <cell r="L88">
            <v>95</v>
          </cell>
        </row>
        <row r="89">
          <cell r="A89">
            <v>162</v>
          </cell>
          <cell r="B89" t="str">
            <v>조아라</v>
          </cell>
          <cell r="C89" t="str">
            <v>연세대</v>
          </cell>
          <cell r="D89" t="str">
            <v>기계</v>
          </cell>
          <cell r="H89" t="str">
            <v>02-3463-4960</v>
          </cell>
          <cell r="I89" t="str">
            <v>017-693-7029</v>
          </cell>
          <cell r="J89">
            <v>175</v>
          </cell>
          <cell r="K89">
            <v>77</v>
          </cell>
          <cell r="L89">
            <v>100</v>
          </cell>
        </row>
        <row r="90">
          <cell r="A90">
            <v>182</v>
          </cell>
          <cell r="B90" t="str">
            <v>한동우</v>
          </cell>
          <cell r="C90" t="str">
            <v>영남대</v>
          </cell>
          <cell r="D90" t="str">
            <v>기계</v>
          </cell>
          <cell r="H90" t="str">
            <v>053-781-3741</v>
          </cell>
          <cell r="I90" t="str">
            <v>011-9595-3226</v>
          </cell>
          <cell r="J90">
            <v>173</v>
          </cell>
          <cell r="K90">
            <v>65</v>
          </cell>
          <cell r="L90">
            <v>100</v>
          </cell>
        </row>
        <row r="91">
          <cell r="A91">
            <v>96</v>
          </cell>
          <cell r="B91" t="str">
            <v>왕대성</v>
          </cell>
          <cell r="C91" t="str">
            <v>인하대</v>
          </cell>
          <cell r="D91" t="str">
            <v>기계</v>
          </cell>
          <cell r="H91" t="str">
            <v>032-612-1777</v>
          </cell>
          <cell r="I91" t="str">
            <v>015-8324-2438</v>
          </cell>
          <cell r="J91">
            <v>178</v>
          </cell>
          <cell r="K91">
            <v>62</v>
          </cell>
          <cell r="L91">
            <v>105</v>
          </cell>
        </row>
        <row r="92">
          <cell r="A92">
            <v>46</v>
          </cell>
          <cell r="B92" t="str">
            <v>박경수</v>
          </cell>
          <cell r="C92" t="str">
            <v>한양대</v>
          </cell>
          <cell r="D92" t="str">
            <v>기계</v>
          </cell>
          <cell r="H92" t="str">
            <v>02-435-7326</v>
          </cell>
          <cell r="I92" t="str">
            <v>016-299-7326</v>
          </cell>
          <cell r="J92">
            <v>170</v>
          </cell>
          <cell r="K92">
            <v>60</v>
          </cell>
          <cell r="L92">
            <v>95</v>
          </cell>
        </row>
        <row r="93">
          <cell r="A93">
            <v>80</v>
          </cell>
          <cell r="B93" t="str">
            <v>심태웅</v>
          </cell>
          <cell r="C93" t="str">
            <v>한양대</v>
          </cell>
          <cell r="D93" t="str">
            <v>기계</v>
          </cell>
          <cell r="E93" t="str">
            <v>한양대</v>
          </cell>
          <cell r="F93" t="str">
            <v>정밀기계공학</v>
          </cell>
          <cell r="H93" t="str">
            <v>02-857-0035</v>
          </cell>
          <cell r="I93" t="str">
            <v>011-9702-9746</v>
          </cell>
          <cell r="J93">
            <v>165</v>
          </cell>
          <cell r="K93">
            <v>67</v>
          </cell>
          <cell r="L93">
            <v>95</v>
          </cell>
        </row>
        <row r="94">
          <cell r="A94">
            <v>98</v>
          </cell>
          <cell r="B94" t="str">
            <v>우길제</v>
          </cell>
          <cell r="C94" t="str">
            <v>한양대</v>
          </cell>
          <cell r="D94" t="str">
            <v>기계</v>
          </cell>
          <cell r="H94" t="str">
            <v>0416-881-5005</v>
          </cell>
          <cell r="I94" t="str">
            <v>012-443-0124</v>
          </cell>
          <cell r="J94">
            <v>175</v>
          </cell>
          <cell r="K94">
            <v>65</v>
          </cell>
          <cell r="L94">
            <v>100</v>
          </cell>
        </row>
        <row r="95">
          <cell r="A95">
            <v>127</v>
          </cell>
          <cell r="B95" t="str">
            <v>이정규</v>
          </cell>
          <cell r="C95" t="str">
            <v>한양대</v>
          </cell>
          <cell r="D95" t="str">
            <v>기계</v>
          </cell>
          <cell r="H95" t="str">
            <v>02-579-8653</v>
          </cell>
          <cell r="I95" t="str">
            <v>011-203-2365</v>
          </cell>
          <cell r="J95">
            <v>177</v>
          </cell>
          <cell r="K95">
            <v>63</v>
          </cell>
          <cell r="L95">
            <v>100</v>
          </cell>
        </row>
        <row r="96">
          <cell r="A96">
            <v>186</v>
          </cell>
          <cell r="B96" t="str">
            <v>홍건식</v>
          </cell>
          <cell r="C96" t="str">
            <v>한양대</v>
          </cell>
          <cell r="D96" t="str">
            <v>기계</v>
          </cell>
          <cell r="H96" t="str">
            <v>0341-988-7027</v>
          </cell>
          <cell r="I96" t="str">
            <v>019-384-9027</v>
          </cell>
          <cell r="J96">
            <v>176</v>
          </cell>
          <cell r="K96">
            <v>55</v>
          </cell>
          <cell r="L96">
            <v>105</v>
          </cell>
        </row>
        <row r="97">
          <cell r="A97">
            <v>158</v>
          </cell>
          <cell r="B97" t="str">
            <v>조근호</v>
          </cell>
          <cell r="C97" t="str">
            <v>한양대</v>
          </cell>
          <cell r="D97" t="str">
            <v>기계</v>
          </cell>
          <cell r="H97" t="str">
            <v>053-962-4865</v>
          </cell>
          <cell r="I97" t="str">
            <v>016-657-9335</v>
          </cell>
          <cell r="J97">
            <v>185</v>
          </cell>
          <cell r="K97">
            <v>71</v>
          </cell>
          <cell r="L97">
            <v>110</v>
          </cell>
        </row>
        <row r="98">
          <cell r="A98">
            <v>169</v>
          </cell>
          <cell r="B98" t="str">
            <v>지상우</v>
          </cell>
          <cell r="C98" t="str">
            <v>홍익대</v>
          </cell>
          <cell r="D98" t="str">
            <v>기계</v>
          </cell>
          <cell r="H98" t="str">
            <v>0344-968-2500</v>
          </cell>
          <cell r="I98" t="str">
            <v>018-233-1206</v>
          </cell>
          <cell r="J98">
            <v>174</v>
          </cell>
          <cell r="K98">
            <v>64</v>
          </cell>
          <cell r="L98">
            <v>100</v>
          </cell>
        </row>
        <row r="99">
          <cell r="A99">
            <v>197</v>
          </cell>
          <cell r="B99" t="str">
            <v>서종우</v>
          </cell>
          <cell r="C99" t="str">
            <v>KIST</v>
          </cell>
          <cell r="D99" t="str">
            <v>기계</v>
          </cell>
          <cell r="E99" t="str">
            <v>KIST</v>
          </cell>
          <cell r="F99" t="str">
            <v>기계</v>
          </cell>
          <cell r="H99" t="str">
            <v>02-3493-8353</v>
          </cell>
          <cell r="I99" t="str">
            <v>017-270-7561</v>
          </cell>
          <cell r="J99">
            <v>180</v>
          </cell>
          <cell r="K99">
            <v>64</v>
          </cell>
          <cell r="L99">
            <v>105</v>
          </cell>
        </row>
        <row r="100">
          <cell r="A100">
            <v>24</v>
          </cell>
          <cell r="B100" t="str">
            <v>김용철</v>
          </cell>
          <cell r="C100" t="str">
            <v>부산대</v>
          </cell>
          <cell r="D100" t="str">
            <v>기계</v>
          </cell>
          <cell r="E100" t="str">
            <v>부산대</v>
          </cell>
          <cell r="F100" t="str">
            <v>정밀기계공학</v>
          </cell>
          <cell r="H100" t="str">
            <v>051-502-5153</v>
          </cell>
          <cell r="I100" t="str">
            <v>011-830-5157</v>
          </cell>
          <cell r="J100">
            <v>174</v>
          </cell>
          <cell r="K100">
            <v>67</v>
          </cell>
          <cell r="L100">
            <v>100</v>
          </cell>
        </row>
        <row r="101">
          <cell r="A101">
            <v>43</v>
          </cell>
          <cell r="B101" t="str">
            <v>류지훈</v>
          </cell>
          <cell r="C101" t="str">
            <v>중앙대</v>
          </cell>
          <cell r="D101" t="str">
            <v>기계</v>
          </cell>
          <cell r="H101" t="str">
            <v>0342-711-8896</v>
          </cell>
          <cell r="I101" t="str">
            <v>017-391-8896</v>
          </cell>
          <cell r="J101">
            <v>172</v>
          </cell>
          <cell r="K101">
            <v>62</v>
          </cell>
          <cell r="L101">
            <v>100</v>
          </cell>
        </row>
        <row r="102">
          <cell r="A102">
            <v>93</v>
          </cell>
          <cell r="B102" t="str">
            <v>오준혁</v>
          </cell>
          <cell r="C102" t="str">
            <v>한양대</v>
          </cell>
          <cell r="D102" t="str">
            <v>기계</v>
          </cell>
          <cell r="H102" t="str">
            <v>02-2296-1048</v>
          </cell>
          <cell r="I102" t="str">
            <v>011-9599-1048</v>
          </cell>
          <cell r="J102">
            <v>178</v>
          </cell>
          <cell r="K102">
            <v>78</v>
          </cell>
          <cell r="L102">
            <v>105</v>
          </cell>
        </row>
        <row r="103">
          <cell r="A103">
            <v>10</v>
          </cell>
          <cell r="B103" t="str">
            <v>정동준</v>
          </cell>
          <cell r="C103" t="str">
            <v>서울대</v>
          </cell>
          <cell r="D103" t="str">
            <v>기계</v>
          </cell>
          <cell r="E103" t="str">
            <v>과기대학원</v>
          </cell>
          <cell r="F103" t="str">
            <v>기계공학</v>
          </cell>
          <cell r="H103" t="str">
            <v>02-869-3269</v>
          </cell>
          <cell r="I103" t="str">
            <v>015-4414-3269</v>
          </cell>
          <cell r="M103" t="str">
            <v>산학장학생</v>
          </cell>
        </row>
        <row r="104">
          <cell r="A104">
            <v>95</v>
          </cell>
          <cell r="B104" t="str">
            <v>오태성</v>
          </cell>
          <cell r="C104" t="str">
            <v>연세대</v>
          </cell>
          <cell r="D104" t="str">
            <v>기계</v>
          </cell>
          <cell r="H104" t="str">
            <v>0342-701-1666</v>
          </cell>
          <cell r="I104" t="str">
            <v>016-267-4375</v>
          </cell>
          <cell r="J104">
            <v>164</v>
          </cell>
          <cell r="K104">
            <v>65</v>
          </cell>
          <cell r="L104">
            <v>90</v>
          </cell>
        </row>
        <row r="105">
          <cell r="A105">
            <v>5</v>
          </cell>
          <cell r="B105" t="str">
            <v>임용진</v>
          </cell>
          <cell r="C105" t="str">
            <v>국민대</v>
          </cell>
          <cell r="D105" t="str">
            <v>기계</v>
          </cell>
          <cell r="E105" t="str">
            <v>기타대</v>
          </cell>
          <cell r="F105" t="str">
            <v>공학계열기타</v>
          </cell>
          <cell r="H105" t="str">
            <v>02-430-7477</v>
          </cell>
          <cell r="I105" t="str">
            <v>017-427-7477</v>
          </cell>
          <cell r="M105" t="str">
            <v>추가자</v>
          </cell>
        </row>
        <row r="106">
          <cell r="A106">
            <v>15</v>
          </cell>
          <cell r="B106" t="str">
            <v>박정근</v>
          </cell>
          <cell r="C106" t="str">
            <v>서울대</v>
          </cell>
          <cell r="D106" t="str">
            <v>노어(노문)</v>
          </cell>
          <cell r="H106" t="str">
            <v>02-877-5907</v>
          </cell>
          <cell r="I106" t="str">
            <v>015-8333-5901</v>
          </cell>
          <cell r="J106">
            <v>168</v>
          </cell>
          <cell r="K106">
            <v>56</v>
          </cell>
          <cell r="L106">
            <v>95</v>
          </cell>
          <cell r="M106" t="str">
            <v>추가될 가능</v>
          </cell>
        </row>
        <row r="107">
          <cell r="A107">
            <v>125</v>
          </cell>
          <cell r="B107" t="str">
            <v>이일부</v>
          </cell>
          <cell r="C107" t="str">
            <v>서울대</v>
          </cell>
          <cell r="D107" t="str">
            <v>농업경제</v>
          </cell>
          <cell r="E107" t="str">
            <v>서울대</v>
          </cell>
          <cell r="F107" t="str">
            <v>농업경제</v>
          </cell>
          <cell r="H107" t="str">
            <v>0343-396-7477</v>
          </cell>
          <cell r="I107" t="str">
            <v>016-658-4551</v>
          </cell>
          <cell r="J107">
            <v>175</v>
          </cell>
          <cell r="K107">
            <v>65</v>
          </cell>
          <cell r="L107">
            <v>105</v>
          </cell>
        </row>
        <row r="108">
          <cell r="A108">
            <v>195</v>
          </cell>
          <cell r="B108" t="str">
            <v>장성주</v>
          </cell>
          <cell r="C108" t="str">
            <v>서울대</v>
          </cell>
          <cell r="D108" t="str">
            <v>농업기계공</v>
          </cell>
          <cell r="E108" t="str">
            <v>서울대</v>
          </cell>
          <cell r="F108" t="str">
            <v>농업기계공학</v>
          </cell>
          <cell r="H108" t="str">
            <v>0331-290-2394</v>
          </cell>
          <cell r="I108" t="str">
            <v>016-727-1042</v>
          </cell>
          <cell r="J108">
            <v>168</v>
          </cell>
          <cell r="K108">
            <v>55</v>
          </cell>
          <cell r="L108">
            <v>95</v>
          </cell>
        </row>
        <row r="109">
          <cell r="A109">
            <v>141</v>
          </cell>
          <cell r="B109" t="str">
            <v>장성만</v>
          </cell>
          <cell r="C109" t="str">
            <v>서울대</v>
          </cell>
          <cell r="D109" t="str">
            <v>농업기계공</v>
          </cell>
          <cell r="H109" t="str">
            <v>0331-290-0843</v>
          </cell>
          <cell r="I109" t="str">
            <v>011-9748-7809</v>
          </cell>
          <cell r="J109">
            <v>173</v>
          </cell>
          <cell r="K109">
            <v>63</v>
          </cell>
          <cell r="L109">
            <v>100</v>
          </cell>
        </row>
        <row r="110">
          <cell r="A110">
            <v>15</v>
          </cell>
          <cell r="B110" t="str">
            <v>김성욱</v>
          </cell>
          <cell r="C110" t="str">
            <v>서울대</v>
          </cell>
          <cell r="D110" t="str">
            <v>농업기계공</v>
          </cell>
          <cell r="H110" t="str">
            <v>0658-544-5286</v>
          </cell>
          <cell r="I110" t="str">
            <v>017-292-5286</v>
          </cell>
          <cell r="J110">
            <v>180</v>
          </cell>
          <cell r="K110">
            <v>76</v>
          </cell>
          <cell r="L110">
            <v>105</v>
          </cell>
        </row>
        <row r="111">
          <cell r="A111">
            <v>28</v>
          </cell>
          <cell r="B111" t="str">
            <v>김재영</v>
          </cell>
          <cell r="C111" t="str">
            <v>서울대</v>
          </cell>
          <cell r="D111" t="str">
            <v>농업기계공</v>
          </cell>
          <cell r="H111" t="str">
            <v>0331-290-0870</v>
          </cell>
          <cell r="I111" t="str">
            <v>016-760-0343</v>
          </cell>
          <cell r="J111">
            <v>175</v>
          </cell>
          <cell r="K111">
            <v>68</v>
          </cell>
          <cell r="L111">
            <v>105</v>
          </cell>
        </row>
        <row r="112">
          <cell r="A112">
            <v>13</v>
          </cell>
          <cell r="B112" t="str">
            <v>정영훈</v>
          </cell>
          <cell r="C112" t="str">
            <v>서울대</v>
          </cell>
          <cell r="D112" t="str">
            <v>농화학</v>
          </cell>
          <cell r="H112" t="str">
            <v>02-884-9609</v>
          </cell>
          <cell r="I112" t="str">
            <v>011-311-3987</v>
          </cell>
          <cell r="J112">
            <v>177</v>
          </cell>
          <cell r="K112">
            <v>72</v>
          </cell>
          <cell r="L112">
            <v>105</v>
          </cell>
          <cell r="M112" t="str">
            <v>신검탈락 검증자</v>
          </cell>
        </row>
        <row r="113">
          <cell r="A113">
            <v>99</v>
          </cell>
          <cell r="B113" t="str">
            <v>유동솔</v>
          </cell>
          <cell r="C113" t="str">
            <v>고려대</v>
          </cell>
          <cell r="D113" t="str">
            <v>독어(독문)</v>
          </cell>
          <cell r="H113" t="str">
            <v>0342-703-5857</v>
          </cell>
          <cell r="I113" t="str">
            <v>016-283-5307</v>
          </cell>
          <cell r="J113">
            <v>176</v>
          </cell>
          <cell r="K113">
            <v>85</v>
          </cell>
          <cell r="L113">
            <v>105</v>
          </cell>
        </row>
        <row r="114">
          <cell r="A114">
            <v>27</v>
          </cell>
          <cell r="B114" t="str">
            <v>김재영</v>
          </cell>
          <cell r="C114" t="str">
            <v>고려대</v>
          </cell>
          <cell r="D114" t="str">
            <v>동양사학</v>
          </cell>
          <cell r="H114" t="str">
            <v>02-911-5259</v>
          </cell>
          <cell r="I114" t="str">
            <v>017-711-5259</v>
          </cell>
          <cell r="J114">
            <v>178</v>
          </cell>
          <cell r="K114">
            <v>69</v>
          </cell>
          <cell r="L114">
            <v>105</v>
          </cell>
        </row>
        <row r="115">
          <cell r="A115">
            <v>4</v>
          </cell>
          <cell r="B115" t="str">
            <v>강성근</v>
          </cell>
          <cell r="C115" t="str">
            <v>고려대</v>
          </cell>
          <cell r="D115" t="str">
            <v>무역</v>
          </cell>
          <cell r="H115" t="str">
            <v>0345-492-7401</v>
          </cell>
          <cell r="I115" t="str">
            <v>016-555-0011</v>
          </cell>
          <cell r="J115">
            <v>172</v>
          </cell>
          <cell r="K115">
            <v>63</v>
          </cell>
          <cell r="L115">
            <v>100</v>
          </cell>
        </row>
        <row r="116">
          <cell r="A116">
            <v>88</v>
          </cell>
          <cell r="B116" t="str">
            <v>양희성</v>
          </cell>
          <cell r="C116" t="str">
            <v>고려대</v>
          </cell>
          <cell r="D116" t="str">
            <v>무역</v>
          </cell>
          <cell r="H116" t="str">
            <v>02-925-1841</v>
          </cell>
          <cell r="I116" t="str">
            <v>019-320-2569</v>
          </cell>
          <cell r="J116">
            <v>174</v>
          </cell>
          <cell r="K116">
            <v>67</v>
          </cell>
          <cell r="L116">
            <v>100</v>
          </cell>
        </row>
        <row r="117">
          <cell r="A117">
            <v>146</v>
          </cell>
          <cell r="B117" t="str">
            <v>전영식</v>
          </cell>
          <cell r="C117" t="str">
            <v>연세대</v>
          </cell>
          <cell r="D117" t="str">
            <v>물리학</v>
          </cell>
          <cell r="H117" t="str">
            <v>032-671-4102</v>
          </cell>
          <cell r="I117" t="str">
            <v>016-385-4102</v>
          </cell>
          <cell r="J117">
            <v>180</v>
          </cell>
          <cell r="K117">
            <v>75</v>
          </cell>
          <cell r="L117">
            <v>105</v>
          </cell>
        </row>
        <row r="118">
          <cell r="A118">
            <v>71</v>
          </cell>
          <cell r="B118" t="str">
            <v>성정훈</v>
          </cell>
          <cell r="C118" t="str">
            <v>고려대</v>
          </cell>
          <cell r="D118" t="str">
            <v>사회학</v>
          </cell>
          <cell r="H118" t="str">
            <v>02-927-4767</v>
          </cell>
          <cell r="I118" t="str">
            <v>016-376-5874</v>
          </cell>
          <cell r="J118">
            <v>172</v>
          </cell>
          <cell r="K118">
            <v>75</v>
          </cell>
          <cell r="L118">
            <v>100</v>
          </cell>
        </row>
        <row r="119">
          <cell r="A119">
            <v>167</v>
          </cell>
          <cell r="B119" t="str">
            <v>조현홍</v>
          </cell>
          <cell r="C119" t="str">
            <v>경성대</v>
          </cell>
          <cell r="D119" t="str">
            <v>산업공학</v>
          </cell>
          <cell r="H119" t="str">
            <v>052-272-7598</v>
          </cell>
          <cell r="I119" t="str">
            <v>016-582-7598</v>
          </cell>
          <cell r="J119">
            <v>180</v>
          </cell>
          <cell r="K119">
            <v>75</v>
          </cell>
          <cell r="L119">
            <v>105</v>
          </cell>
        </row>
        <row r="120">
          <cell r="A120">
            <v>131</v>
          </cell>
          <cell r="B120" t="str">
            <v>이진호</v>
          </cell>
          <cell r="C120" t="str">
            <v>일본] 와세다</v>
          </cell>
          <cell r="D120" t="str">
            <v>상학</v>
          </cell>
          <cell r="H120" t="str">
            <v>0342-713-3512</v>
          </cell>
          <cell r="I120" t="str">
            <v>011-9075-2939</v>
          </cell>
          <cell r="J120">
            <v>173</v>
          </cell>
          <cell r="K120">
            <v>70</v>
          </cell>
          <cell r="L120">
            <v>100</v>
          </cell>
        </row>
        <row r="121">
          <cell r="A121">
            <v>148</v>
          </cell>
          <cell r="B121" t="str">
            <v>전주열</v>
          </cell>
          <cell r="C121" t="str">
            <v>고려대</v>
          </cell>
          <cell r="D121" t="str">
            <v>서어(서문)</v>
          </cell>
          <cell r="H121" t="str">
            <v>02-3290-2153</v>
          </cell>
          <cell r="I121" t="str">
            <v>016-246-5091</v>
          </cell>
          <cell r="J121">
            <v>168</v>
          </cell>
          <cell r="K121">
            <v>64</v>
          </cell>
          <cell r="L121">
            <v>95</v>
          </cell>
        </row>
        <row r="122">
          <cell r="A122">
            <v>177</v>
          </cell>
          <cell r="B122" t="str">
            <v>최용득</v>
          </cell>
          <cell r="C122" t="str">
            <v>고려대</v>
          </cell>
          <cell r="D122" t="str">
            <v>서어(서문)</v>
          </cell>
          <cell r="H122" t="str">
            <v>02-964-7068</v>
          </cell>
          <cell r="I122" t="str">
            <v>017-723-0218</v>
          </cell>
          <cell r="J122">
            <v>168</v>
          </cell>
          <cell r="K122">
            <v>60</v>
          </cell>
          <cell r="L122">
            <v>95</v>
          </cell>
        </row>
        <row r="123">
          <cell r="A123">
            <v>38</v>
          </cell>
          <cell r="B123" t="str">
            <v>나유석</v>
          </cell>
          <cell r="C123" t="str">
            <v>고려대</v>
          </cell>
          <cell r="D123" t="str">
            <v>서어(서문)</v>
          </cell>
          <cell r="H123" t="str">
            <v>02-591-3813</v>
          </cell>
          <cell r="I123" t="str">
            <v>017-396-1937</v>
          </cell>
          <cell r="J123">
            <v>173</v>
          </cell>
          <cell r="K123">
            <v>67</v>
          </cell>
          <cell r="L123">
            <v>100</v>
          </cell>
        </row>
        <row r="124">
          <cell r="A124">
            <v>193</v>
          </cell>
          <cell r="B124" t="str">
            <v>황차연</v>
          </cell>
          <cell r="C124" t="str">
            <v>경희대</v>
          </cell>
          <cell r="D124" t="str">
            <v>섬유</v>
          </cell>
          <cell r="H124" t="str">
            <v>0331-246-4134</v>
          </cell>
          <cell r="I124" t="str">
            <v>017-280-6517</v>
          </cell>
          <cell r="J124">
            <v>174</v>
          </cell>
          <cell r="K124">
            <v>60</v>
          </cell>
          <cell r="L124">
            <v>100</v>
          </cell>
        </row>
        <row r="125">
          <cell r="A125">
            <v>153</v>
          </cell>
          <cell r="B125" t="str">
            <v>정성갑</v>
          </cell>
          <cell r="C125" t="str">
            <v>경희대</v>
          </cell>
          <cell r="D125" t="str">
            <v>섬유</v>
          </cell>
          <cell r="H125" t="str">
            <v>02-908-4952</v>
          </cell>
          <cell r="I125" t="str">
            <v>016-267-4956</v>
          </cell>
          <cell r="J125">
            <v>177</v>
          </cell>
          <cell r="K125">
            <v>66</v>
          </cell>
          <cell r="L125">
            <v>105</v>
          </cell>
        </row>
        <row r="126">
          <cell r="A126">
            <v>26</v>
          </cell>
          <cell r="B126" t="str">
            <v>김응수</v>
          </cell>
          <cell r="C126" t="str">
            <v>서울대</v>
          </cell>
          <cell r="D126" t="str">
            <v>섬유</v>
          </cell>
          <cell r="E126" t="str">
            <v>서울대</v>
          </cell>
          <cell r="F126" t="str">
            <v>섬유공학</v>
          </cell>
          <cell r="H126" t="str">
            <v>02-880-8736</v>
          </cell>
          <cell r="J126">
            <v>172</v>
          </cell>
          <cell r="K126">
            <v>68</v>
          </cell>
          <cell r="L126">
            <v>100</v>
          </cell>
        </row>
        <row r="127">
          <cell r="A127">
            <v>11</v>
          </cell>
          <cell r="B127" t="str">
            <v>김정선</v>
          </cell>
          <cell r="C127" t="str">
            <v>서울대</v>
          </cell>
          <cell r="D127" t="str">
            <v>섬유</v>
          </cell>
          <cell r="E127" t="str">
            <v>서울대</v>
          </cell>
          <cell r="F127" t="str">
            <v>섬유공학</v>
          </cell>
          <cell r="H127" t="str">
            <v>032-86-7375</v>
          </cell>
          <cell r="I127" t="str">
            <v>880-7195</v>
          </cell>
          <cell r="M127" t="str">
            <v>산학장학생</v>
          </cell>
        </row>
        <row r="128">
          <cell r="A128">
            <v>48</v>
          </cell>
          <cell r="B128" t="str">
            <v>박광환</v>
          </cell>
          <cell r="C128" t="str">
            <v>성균관대</v>
          </cell>
          <cell r="D128" t="str">
            <v>섬유</v>
          </cell>
          <cell r="H128" t="str">
            <v>233912182</v>
          </cell>
          <cell r="I128" t="str">
            <v>019-234-2182</v>
          </cell>
          <cell r="J128">
            <v>168</v>
          </cell>
          <cell r="K128">
            <v>55</v>
          </cell>
          <cell r="L128">
            <v>95</v>
          </cell>
        </row>
        <row r="129">
          <cell r="A129">
            <v>113</v>
          </cell>
          <cell r="B129" t="str">
            <v>이동훈</v>
          </cell>
          <cell r="C129" t="str">
            <v>성균관대</v>
          </cell>
          <cell r="D129" t="str">
            <v>섬유</v>
          </cell>
          <cell r="H129" t="str">
            <v>0331-294-3447</v>
          </cell>
          <cell r="I129" t="str">
            <v>016-211-2972</v>
          </cell>
          <cell r="J129">
            <v>168</v>
          </cell>
          <cell r="K129">
            <v>61</v>
          </cell>
          <cell r="L129">
            <v>95</v>
          </cell>
        </row>
        <row r="130">
          <cell r="A130">
            <v>9</v>
          </cell>
          <cell r="B130" t="str">
            <v>곽경훈</v>
          </cell>
          <cell r="C130" t="str">
            <v>성균관대</v>
          </cell>
          <cell r="D130" t="str">
            <v>섬유</v>
          </cell>
          <cell r="H130" t="str">
            <v>02-713-7936</v>
          </cell>
          <cell r="I130" t="str">
            <v>016-282-7936</v>
          </cell>
          <cell r="J130">
            <v>175</v>
          </cell>
          <cell r="K130">
            <v>72</v>
          </cell>
          <cell r="L130">
            <v>100</v>
          </cell>
        </row>
        <row r="131">
          <cell r="A131">
            <v>42</v>
          </cell>
          <cell r="B131" t="str">
            <v>류순주</v>
          </cell>
          <cell r="C131" t="str">
            <v>성균관대</v>
          </cell>
          <cell r="D131" t="str">
            <v>섬유</v>
          </cell>
          <cell r="H131" t="str">
            <v>0343-425-9468</v>
          </cell>
          <cell r="I131" t="str">
            <v>018-251-9468</v>
          </cell>
          <cell r="J131">
            <v>174</v>
          </cell>
          <cell r="K131">
            <v>66</v>
          </cell>
          <cell r="L131">
            <v>100</v>
          </cell>
        </row>
        <row r="132">
          <cell r="A132">
            <v>50</v>
          </cell>
          <cell r="B132" t="str">
            <v>박대희</v>
          </cell>
          <cell r="C132" t="str">
            <v>성균관대</v>
          </cell>
          <cell r="D132" t="str">
            <v>섬유</v>
          </cell>
          <cell r="H132" t="str">
            <v>02-548-6228</v>
          </cell>
          <cell r="I132" t="str">
            <v>018-329-6228</v>
          </cell>
          <cell r="J132">
            <v>173</v>
          </cell>
          <cell r="K132">
            <v>58</v>
          </cell>
          <cell r="L132">
            <v>100</v>
          </cell>
        </row>
        <row r="133">
          <cell r="A133">
            <v>132</v>
          </cell>
          <cell r="B133" t="str">
            <v>이창재</v>
          </cell>
          <cell r="C133" t="str">
            <v>성균관대</v>
          </cell>
          <cell r="D133" t="str">
            <v>섬유</v>
          </cell>
          <cell r="H133" t="str">
            <v>0591-742-2432</v>
          </cell>
          <cell r="I133" t="str">
            <v>017-544-8256</v>
          </cell>
          <cell r="J133">
            <v>173</v>
          </cell>
          <cell r="K133">
            <v>75</v>
          </cell>
          <cell r="L133">
            <v>100</v>
          </cell>
        </row>
        <row r="134">
          <cell r="A134">
            <v>135</v>
          </cell>
          <cell r="B134" t="str">
            <v>이현호</v>
          </cell>
          <cell r="C134" t="str">
            <v>성균관대</v>
          </cell>
          <cell r="D134" t="str">
            <v>섬유</v>
          </cell>
          <cell r="H134" t="str">
            <v>0342-731-9898</v>
          </cell>
          <cell r="I134" t="str">
            <v>017-286-6198</v>
          </cell>
          <cell r="J134">
            <v>180</v>
          </cell>
          <cell r="K134">
            <v>75</v>
          </cell>
          <cell r="L134">
            <v>100</v>
          </cell>
        </row>
        <row r="135">
          <cell r="A135">
            <v>102</v>
          </cell>
          <cell r="B135" t="str">
            <v>유지욱</v>
          </cell>
          <cell r="C135" t="str">
            <v>성균관대</v>
          </cell>
          <cell r="D135" t="str">
            <v>섬유</v>
          </cell>
          <cell r="H135" t="str">
            <v>0342-706-9449</v>
          </cell>
          <cell r="I135" t="str">
            <v>017-357-9449</v>
          </cell>
          <cell r="J135">
            <v>178</v>
          </cell>
          <cell r="K135">
            <v>95</v>
          </cell>
          <cell r="L135">
            <v>105</v>
          </cell>
        </row>
        <row r="136">
          <cell r="A136">
            <v>41</v>
          </cell>
          <cell r="B136" t="str">
            <v>류광택</v>
          </cell>
          <cell r="C136" t="str">
            <v>영남대</v>
          </cell>
          <cell r="D136" t="str">
            <v>섬유</v>
          </cell>
          <cell r="H136" t="str">
            <v>053-651-2224</v>
          </cell>
          <cell r="I136" t="str">
            <v>016-720-2224</v>
          </cell>
          <cell r="J136">
            <v>168</v>
          </cell>
          <cell r="K136">
            <v>80</v>
          </cell>
          <cell r="L136">
            <v>95</v>
          </cell>
        </row>
        <row r="137">
          <cell r="A137">
            <v>7</v>
          </cell>
          <cell r="B137" t="str">
            <v>강재익</v>
          </cell>
          <cell r="C137" t="str">
            <v>인하대</v>
          </cell>
          <cell r="D137" t="str">
            <v>섬유</v>
          </cell>
          <cell r="E137" t="str">
            <v>인하대</v>
          </cell>
          <cell r="F137" t="str">
            <v>섬유공학</v>
          </cell>
          <cell r="H137" t="str">
            <v>0417-555-0476</v>
          </cell>
          <cell r="I137" t="str">
            <v>018-422-9919</v>
          </cell>
          <cell r="J137">
            <v>175</v>
          </cell>
          <cell r="K137">
            <v>76</v>
          </cell>
          <cell r="L137">
            <v>100</v>
          </cell>
        </row>
        <row r="138">
          <cell r="A138">
            <v>40</v>
          </cell>
          <cell r="B138" t="str">
            <v>라규일</v>
          </cell>
          <cell r="C138" t="str">
            <v>인하대</v>
          </cell>
          <cell r="D138" t="str">
            <v>섬유</v>
          </cell>
          <cell r="E138" t="str">
            <v>인하대</v>
          </cell>
          <cell r="F138" t="str">
            <v>섬유공학</v>
          </cell>
          <cell r="H138" t="str">
            <v>3312978864</v>
          </cell>
          <cell r="I138" t="str">
            <v>016-306-8864</v>
          </cell>
          <cell r="J138">
            <v>172</v>
          </cell>
          <cell r="K138">
            <v>60</v>
          </cell>
          <cell r="L138">
            <v>100</v>
          </cell>
        </row>
        <row r="139">
          <cell r="A139">
            <v>181</v>
          </cell>
          <cell r="B139" t="str">
            <v>편도균</v>
          </cell>
          <cell r="C139" t="str">
            <v>충남대</v>
          </cell>
          <cell r="D139" t="str">
            <v>섬유</v>
          </cell>
          <cell r="H139" t="str">
            <v>042-283-3958</v>
          </cell>
          <cell r="I139" t="str">
            <v>019-428-9124</v>
          </cell>
          <cell r="J139">
            <v>173</v>
          </cell>
          <cell r="K139">
            <v>66</v>
          </cell>
          <cell r="L139">
            <v>100</v>
          </cell>
        </row>
        <row r="140">
          <cell r="A140">
            <v>154</v>
          </cell>
          <cell r="B140" t="str">
            <v>정우진</v>
          </cell>
          <cell r="C140" t="str">
            <v>충남대</v>
          </cell>
          <cell r="D140" t="str">
            <v>섬유</v>
          </cell>
          <cell r="H140" t="str">
            <v>042-533-0578</v>
          </cell>
          <cell r="I140" t="str">
            <v>017-402-0578</v>
          </cell>
          <cell r="J140">
            <v>176</v>
          </cell>
          <cell r="K140">
            <v>65</v>
          </cell>
          <cell r="L140">
            <v>105</v>
          </cell>
        </row>
        <row r="141">
          <cell r="A141">
            <v>121</v>
          </cell>
          <cell r="B141" t="str">
            <v>이승훈</v>
          </cell>
          <cell r="C141" t="str">
            <v>한양대</v>
          </cell>
          <cell r="D141" t="str">
            <v>섬유</v>
          </cell>
          <cell r="H141" t="str">
            <v>052-292-1028</v>
          </cell>
          <cell r="I141" t="str">
            <v>019-388-5370</v>
          </cell>
          <cell r="J141">
            <v>173</v>
          </cell>
          <cell r="K141">
            <v>70</v>
          </cell>
          <cell r="L141">
            <v>100</v>
          </cell>
        </row>
        <row r="142">
          <cell r="A142">
            <v>68</v>
          </cell>
          <cell r="B142" t="str">
            <v>백형원</v>
          </cell>
          <cell r="C142" t="str">
            <v>한양대</v>
          </cell>
          <cell r="D142" t="str">
            <v>섬유</v>
          </cell>
          <cell r="H142" t="str">
            <v>02-387-4714</v>
          </cell>
          <cell r="I142" t="str">
            <v>018-256-4714</v>
          </cell>
          <cell r="J142">
            <v>178</v>
          </cell>
          <cell r="K142">
            <v>72</v>
          </cell>
          <cell r="L142">
            <v>105</v>
          </cell>
        </row>
        <row r="143">
          <cell r="A143">
            <v>7</v>
          </cell>
          <cell r="B143" t="str">
            <v>허종태</v>
          </cell>
          <cell r="C143" t="str">
            <v>한양대</v>
          </cell>
          <cell r="D143" t="str">
            <v>섬유</v>
          </cell>
          <cell r="E143" t="str">
            <v>한양대</v>
          </cell>
          <cell r="F143" t="str">
            <v>섬유공학</v>
          </cell>
          <cell r="H143" t="str">
            <v>02-421-2938</v>
          </cell>
          <cell r="I143" t="str">
            <v>011-585-2938</v>
          </cell>
          <cell r="M143" t="str">
            <v>산학장학생</v>
          </cell>
        </row>
        <row r="144">
          <cell r="A144">
            <v>18</v>
          </cell>
          <cell r="B144" t="str">
            <v>최승우</v>
          </cell>
          <cell r="C144" t="str">
            <v>한양대</v>
          </cell>
          <cell r="D144" t="str">
            <v>섬유</v>
          </cell>
          <cell r="E144" t="str">
            <v>한양대</v>
          </cell>
          <cell r="F144" t="str">
            <v>섬유</v>
          </cell>
          <cell r="I144" t="str">
            <v>018-226-5634</v>
          </cell>
          <cell r="M144" t="str">
            <v>연구소 채용자</v>
          </cell>
        </row>
        <row r="145">
          <cell r="A145">
            <v>19</v>
          </cell>
          <cell r="B145" t="str">
            <v>유상훈</v>
          </cell>
          <cell r="C145" t="str">
            <v>부산대</v>
          </cell>
          <cell r="D145" t="str">
            <v>섬유</v>
          </cell>
          <cell r="E145" t="str">
            <v>부산대</v>
          </cell>
          <cell r="F145" t="str">
            <v>섬유</v>
          </cell>
          <cell r="I145" t="str">
            <v>016-555-3055</v>
          </cell>
          <cell r="M145" t="str">
            <v>연구소 채용자</v>
          </cell>
        </row>
        <row r="146">
          <cell r="A146">
            <v>21</v>
          </cell>
          <cell r="B146" t="str">
            <v>강민성</v>
          </cell>
          <cell r="C146" t="str">
            <v>서울대</v>
          </cell>
          <cell r="D146" t="str">
            <v>섬유</v>
          </cell>
          <cell r="E146" t="str">
            <v>서울대</v>
          </cell>
          <cell r="F146" t="str">
            <v>섬유고분자공학</v>
          </cell>
          <cell r="H146" t="str">
            <v>0344-963-2724</v>
          </cell>
          <cell r="M146" t="str">
            <v>연구소 채용자</v>
          </cell>
        </row>
        <row r="147">
          <cell r="A147">
            <v>77</v>
          </cell>
          <cell r="B147" t="str">
            <v>신용선</v>
          </cell>
          <cell r="C147" t="str">
            <v>부산대</v>
          </cell>
          <cell r="D147" t="str">
            <v>섬유</v>
          </cell>
          <cell r="H147" t="str">
            <v>051-514-9661</v>
          </cell>
          <cell r="I147" t="str">
            <v>019-356-9661</v>
          </cell>
          <cell r="J147">
            <v>169</v>
          </cell>
          <cell r="K147">
            <v>61</v>
          </cell>
          <cell r="L147">
            <v>95</v>
          </cell>
        </row>
        <row r="148">
          <cell r="A148">
            <v>17</v>
          </cell>
          <cell r="B148" t="str">
            <v>김성훈</v>
          </cell>
          <cell r="C148" t="str">
            <v>한양대</v>
          </cell>
          <cell r="D148" t="str">
            <v>섬유</v>
          </cell>
          <cell r="H148" t="str">
            <v>02-581-7399</v>
          </cell>
          <cell r="I148" t="str">
            <v>019-308-3329</v>
          </cell>
          <cell r="J148">
            <v>177</v>
          </cell>
          <cell r="K148">
            <v>78</v>
          </cell>
          <cell r="L148">
            <v>105</v>
          </cell>
        </row>
        <row r="149">
          <cell r="A149">
            <v>36</v>
          </cell>
          <cell r="B149" t="str">
            <v>김형수</v>
          </cell>
          <cell r="C149" t="str">
            <v>서강대</v>
          </cell>
          <cell r="D149" t="str">
            <v>수학</v>
          </cell>
          <cell r="E149" t="str">
            <v>서강대</v>
          </cell>
          <cell r="F149" t="str">
            <v>공학계열기타</v>
          </cell>
          <cell r="H149" t="str">
            <v>28610068</v>
          </cell>
          <cell r="I149" t="str">
            <v>019-261-1068</v>
          </cell>
          <cell r="J149">
            <v>181</v>
          </cell>
          <cell r="K149">
            <v>70</v>
          </cell>
          <cell r="L149">
            <v>110</v>
          </cell>
        </row>
        <row r="150">
          <cell r="A150">
            <v>105</v>
          </cell>
          <cell r="B150" t="str">
            <v>윤성현</v>
          </cell>
          <cell r="C150" t="str">
            <v>경북대</v>
          </cell>
          <cell r="D150" t="str">
            <v>염색공학</v>
          </cell>
          <cell r="H150" t="str">
            <v>053-471-6131</v>
          </cell>
          <cell r="I150" t="str">
            <v>011-826-6131</v>
          </cell>
          <cell r="J150">
            <v>175</v>
          </cell>
          <cell r="K150">
            <v>80</v>
          </cell>
          <cell r="L150">
            <v>100</v>
          </cell>
        </row>
        <row r="151">
          <cell r="A151">
            <v>179</v>
          </cell>
          <cell r="B151" t="str">
            <v>최재원</v>
          </cell>
          <cell r="C151" t="str">
            <v>경북대</v>
          </cell>
          <cell r="D151" t="str">
            <v>염색공학</v>
          </cell>
          <cell r="H151" t="str">
            <v>053-763-5348</v>
          </cell>
          <cell r="I151" t="str">
            <v>011-9578-5724</v>
          </cell>
          <cell r="J151">
            <v>175</v>
          </cell>
          <cell r="K151">
            <v>74</v>
          </cell>
          <cell r="L151">
            <v>100</v>
          </cell>
        </row>
        <row r="152">
          <cell r="A152">
            <v>17</v>
          </cell>
          <cell r="B152" t="str">
            <v>김동윤</v>
          </cell>
          <cell r="C152" t="str">
            <v>경북대</v>
          </cell>
          <cell r="D152" t="str">
            <v>염색공학</v>
          </cell>
          <cell r="E152" t="str">
            <v>경북대</v>
          </cell>
          <cell r="F152" t="str">
            <v>염색공학</v>
          </cell>
          <cell r="H152" t="str">
            <v>053-950-5638</v>
          </cell>
          <cell r="M152" t="str">
            <v>연구소 채용자</v>
          </cell>
        </row>
        <row r="153">
          <cell r="A153">
            <v>194</v>
          </cell>
          <cell r="B153" t="str">
            <v>황희태</v>
          </cell>
          <cell r="C153" t="str">
            <v>고려대</v>
          </cell>
          <cell r="D153" t="str">
            <v>영어(영문)</v>
          </cell>
          <cell r="H153" t="str">
            <v>02-928-2795</v>
          </cell>
          <cell r="I153" t="str">
            <v>011-748-5496</v>
          </cell>
          <cell r="J153">
            <v>174.8</v>
          </cell>
          <cell r="K153">
            <v>71</v>
          </cell>
          <cell r="L153">
            <v>100</v>
          </cell>
        </row>
        <row r="154">
          <cell r="A154">
            <v>128</v>
          </cell>
          <cell r="B154" t="str">
            <v>이정주</v>
          </cell>
          <cell r="C154" t="str">
            <v>성균관대</v>
          </cell>
          <cell r="D154" t="str">
            <v>영어(영문)</v>
          </cell>
          <cell r="H154" t="str">
            <v>0357-542-7743</v>
          </cell>
          <cell r="I154" t="str">
            <v>011-447-5114</v>
          </cell>
          <cell r="J154">
            <v>168</v>
          </cell>
          <cell r="K154">
            <v>64</v>
          </cell>
          <cell r="L154">
            <v>95</v>
          </cell>
        </row>
        <row r="155">
          <cell r="A155">
            <v>189</v>
          </cell>
          <cell r="B155" t="str">
            <v>홍진태</v>
          </cell>
          <cell r="C155" t="str">
            <v>한국외대</v>
          </cell>
          <cell r="D155" t="str">
            <v>영어(영문)</v>
          </cell>
          <cell r="E155" t="str">
            <v>한국외대</v>
          </cell>
          <cell r="F155" t="str">
            <v>상경계열기타</v>
          </cell>
          <cell r="H155" t="str">
            <v>02-537-8881</v>
          </cell>
          <cell r="I155" t="str">
            <v>019-408-8881</v>
          </cell>
          <cell r="J155">
            <v>176.5</v>
          </cell>
          <cell r="K155">
            <v>65</v>
          </cell>
          <cell r="L155">
            <v>105</v>
          </cell>
        </row>
        <row r="156">
          <cell r="A156">
            <v>30</v>
          </cell>
          <cell r="B156" t="str">
            <v>김종완</v>
          </cell>
          <cell r="C156" t="str">
            <v>고려대</v>
          </cell>
          <cell r="D156" t="str">
            <v>유전공</v>
          </cell>
          <cell r="H156" t="str">
            <v>02-929-3286</v>
          </cell>
          <cell r="I156" t="str">
            <v>015-8344-3286</v>
          </cell>
          <cell r="J156">
            <v>167</v>
          </cell>
          <cell r="K156">
            <v>60</v>
          </cell>
          <cell r="L156">
            <v>95</v>
          </cell>
        </row>
        <row r="157">
          <cell r="A157">
            <v>126</v>
          </cell>
          <cell r="B157" t="str">
            <v>이재선</v>
          </cell>
          <cell r="C157" t="str">
            <v>고려대</v>
          </cell>
          <cell r="D157" t="str">
            <v>응용전자공학과</v>
          </cell>
          <cell r="H157" t="str">
            <v>0344-978-0122</v>
          </cell>
          <cell r="I157" t="str">
            <v>019-221-0517</v>
          </cell>
          <cell r="J157">
            <v>180</v>
          </cell>
          <cell r="K157">
            <v>72</v>
          </cell>
          <cell r="L157">
            <v>105</v>
          </cell>
        </row>
        <row r="158">
          <cell r="A158">
            <v>109</v>
          </cell>
          <cell r="B158" t="str">
            <v>이강준</v>
          </cell>
          <cell r="C158" t="str">
            <v>서울대</v>
          </cell>
          <cell r="D158" t="str">
            <v>이학계열</v>
          </cell>
          <cell r="H158" t="str">
            <v>032-873-1668</v>
          </cell>
          <cell r="I158" t="str">
            <v>011-319-3818</v>
          </cell>
          <cell r="J158">
            <v>175</v>
          </cell>
          <cell r="K158">
            <v>65</v>
          </cell>
          <cell r="L158">
            <v>100</v>
          </cell>
        </row>
        <row r="159">
          <cell r="A159">
            <v>108</v>
          </cell>
          <cell r="B159" t="str">
            <v>윤진영</v>
          </cell>
          <cell r="C159" t="str">
            <v>세종대</v>
          </cell>
          <cell r="D159" t="str">
            <v>일어(일문)</v>
          </cell>
          <cell r="H159" t="str">
            <v>02-446-3310</v>
          </cell>
          <cell r="I159" t="str">
            <v>017-327-3311</v>
          </cell>
          <cell r="J159">
            <v>171</v>
          </cell>
          <cell r="K159">
            <v>63</v>
          </cell>
          <cell r="L159">
            <v>100</v>
          </cell>
        </row>
        <row r="160">
          <cell r="A160">
            <v>120</v>
          </cell>
          <cell r="B160" t="str">
            <v>이수열</v>
          </cell>
          <cell r="C160" t="str">
            <v>서울대</v>
          </cell>
          <cell r="D160" t="str">
            <v>자원공</v>
          </cell>
          <cell r="H160" t="str">
            <v>02-874-9750</v>
          </cell>
          <cell r="I160" t="str">
            <v>019-372-9750</v>
          </cell>
          <cell r="J160">
            <v>177</v>
          </cell>
          <cell r="K160">
            <v>72</v>
          </cell>
          <cell r="L160">
            <v>105</v>
          </cell>
        </row>
        <row r="161">
          <cell r="A161">
            <v>78</v>
          </cell>
          <cell r="B161" t="str">
            <v>신용필</v>
          </cell>
          <cell r="C161" t="str">
            <v>서울대</v>
          </cell>
          <cell r="D161" t="str">
            <v>재료공</v>
          </cell>
          <cell r="H161" t="str">
            <v>0344-976-2212</v>
          </cell>
          <cell r="I161" t="str">
            <v>017-244-2295</v>
          </cell>
          <cell r="J161">
            <v>177</v>
          </cell>
          <cell r="K161">
            <v>68</v>
          </cell>
          <cell r="L161">
            <v>105</v>
          </cell>
        </row>
        <row r="162">
          <cell r="A162">
            <v>39</v>
          </cell>
          <cell r="B162" t="str">
            <v>나준</v>
          </cell>
          <cell r="C162" t="str">
            <v>건국대</v>
          </cell>
          <cell r="D162" t="str">
            <v>전기</v>
          </cell>
          <cell r="H162" t="str">
            <v>02-467-3694</v>
          </cell>
          <cell r="I162" t="str">
            <v>017-280-6963</v>
          </cell>
          <cell r="J162">
            <v>170</v>
          </cell>
          <cell r="K162">
            <v>63</v>
          </cell>
          <cell r="L162">
            <v>95</v>
          </cell>
        </row>
        <row r="163">
          <cell r="A163">
            <v>51</v>
          </cell>
          <cell r="B163" t="str">
            <v>박성원</v>
          </cell>
          <cell r="C163" t="str">
            <v>건국대</v>
          </cell>
          <cell r="D163" t="str">
            <v>전기</v>
          </cell>
          <cell r="H163" t="str">
            <v>02-499-0942</v>
          </cell>
          <cell r="I163" t="str">
            <v>018-217-0942</v>
          </cell>
          <cell r="J163">
            <v>173</v>
          </cell>
          <cell r="K163">
            <v>77</v>
          </cell>
          <cell r="L163">
            <v>100</v>
          </cell>
        </row>
        <row r="164">
          <cell r="A164">
            <v>115</v>
          </cell>
          <cell r="B164" t="str">
            <v>이상원</v>
          </cell>
          <cell r="C164" t="str">
            <v>건국대</v>
          </cell>
          <cell r="D164" t="str">
            <v>전기</v>
          </cell>
          <cell r="H164" t="str">
            <v>02) 355-1250</v>
          </cell>
          <cell r="I164" t="str">
            <v>012-838-1250</v>
          </cell>
          <cell r="J164">
            <v>176</v>
          </cell>
          <cell r="K164">
            <v>63</v>
          </cell>
          <cell r="L164">
            <v>105</v>
          </cell>
        </row>
        <row r="165">
          <cell r="A165">
            <v>173</v>
          </cell>
          <cell r="B165" t="str">
            <v>최보수</v>
          </cell>
          <cell r="C165" t="str">
            <v>건국대</v>
          </cell>
          <cell r="D165" t="str">
            <v>전기</v>
          </cell>
          <cell r="H165" t="str">
            <v>02-446-1205</v>
          </cell>
          <cell r="I165" t="str">
            <v>019-312-4506</v>
          </cell>
          <cell r="J165">
            <v>181</v>
          </cell>
          <cell r="K165">
            <v>63</v>
          </cell>
          <cell r="L165">
            <v>110</v>
          </cell>
        </row>
        <row r="166">
          <cell r="A166">
            <v>183</v>
          </cell>
          <cell r="B166" t="str">
            <v>한창음</v>
          </cell>
          <cell r="C166" t="str">
            <v>경북대</v>
          </cell>
          <cell r="D166" t="str">
            <v>전기</v>
          </cell>
          <cell r="E166" t="str">
            <v>경북대</v>
          </cell>
          <cell r="F166" t="str">
            <v>전기공학</v>
          </cell>
          <cell r="H166" t="str">
            <v>533523079</v>
          </cell>
          <cell r="I166" t="str">
            <v>017-515-4428</v>
          </cell>
          <cell r="J166">
            <v>169</v>
          </cell>
          <cell r="K166">
            <v>54</v>
          </cell>
          <cell r="L166">
            <v>95</v>
          </cell>
        </row>
        <row r="167">
          <cell r="A167">
            <v>103</v>
          </cell>
          <cell r="B167" t="str">
            <v>유현오</v>
          </cell>
          <cell r="C167" t="str">
            <v>경북대</v>
          </cell>
          <cell r="D167" t="str">
            <v>전기</v>
          </cell>
          <cell r="E167" t="str">
            <v>경북대</v>
          </cell>
          <cell r="F167" t="str">
            <v>전기공학</v>
          </cell>
          <cell r="H167" t="str">
            <v>053)940-8746</v>
          </cell>
          <cell r="I167" t="str">
            <v>017-511-2844</v>
          </cell>
          <cell r="J167">
            <v>172</v>
          </cell>
          <cell r="K167">
            <v>77</v>
          </cell>
          <cell r="L167">
            <v>100</v>
          </cell>
        </row>
        <row r="168">
          <cell r="A168">
            <v>180</v>
          </cell>
          <cell r="B168" t="str">
            <v>최진만</v>
          </cell>
          <cell r="C168" t="str">
            <v>경북대</v>
          </cell>
          <cell r="D168" t="str">
            <v>전기</v>
          </cell>
          <cell r="E168" t="str">
            <v>경북대</v>
          </cell>
          <cell r="F168" t="str">
            <v>전기공학</v>
          </cell>
          <cell r="H168" t="str">
            <v>053-853-3373</v>
          </cell>
          <cell r="J168">
            <v>172</v>
          </cell>
          <cell r="K168">
            <v>66</v>
          </cell>
          <cell r="L168">
            <v>100</v>
          </cell>
        </row>
        <row r="169">
          <cell r="A169">
            <v>55</v>
          </cell>
          <cell r="B169" t="str">
            <v>박용하</v>
          </cell>
          <cell r="C169" t="str">
            <v>고려대</v>
          </cell>
          <cell r="D169" t="str">
            <v>전기</v>
          </cell>
          <cell r="H169" t="str">
            <v>0446-877-0757</v>
          </cell>
          <cell r="I169" t="str">
            <v>011-9752-1562</v>
          </cell>
          <cell r="J169">
            <v>168</v>
          </cell>
          <cell r="K169">
            <v>62</v>
          </cell>
          <cell r="L169">
            <v>95</v>
          </cell>
        </row>
        <row r="170">
          <cell r="A170">
            <v>29</v>
          </cell>
          <cell r="B170" t="str">
            <v>김정대</v>
          </cell>
          <cell r="C170" t="str">
            <v>고려대</v>
          </cell>
          <cell r="D170" t="str">
            <v>전기</v>
          </cell>
          <cell r="H170" t="str">
            <v>02-804-1991</v>
          </cell>
          <cell r="I170" t="str">
            <v>016-299-0775</v>
          </cell>
          <cell r="J170">
            <v>173</v>
          </cell>
          <cell r="K170">
            <v>70</v>
          </cell>
          <cell r="L170">
            <v>100</v>
          </cell>
        </row>
        <row r="171">
          <cell r="A171">
            <v>49</v>
          </cell>
          <cell r="B171" t="str">
            <v>박노중</v>
          </cell>
          <cell r="C171" t="str">
            <v>광운대</v>
          </cell>
          <cell r="D171" t="str">
            <v>전기</v>
          </cell>
          <cell r="E171" t="str">
            <v>광운대</v>
          </cell>
          <cell r="F171" t="str">
            <v>전기공학</v>
          </cell>
          <cell r="H171" t="str">
            <v>(02)940-5146</v>
          </cell>
          <cell r="I171" t="str">
            <v>016-396-6253</v>
          </cell>
          <cell r="J171">
            <v>170</v>
          </cell>
          <cell r="K171">
            <v>67</v>
          </cell>
          <cell r="L171">
            <v>95</v>
          </cell>
        </row>
        <row r="172">
          <cell r="A172">
            <v>122</v>
          </cell>
          <cell r="B172" t="str">
            <v>이용석</v>
          </cell>
          <cell r="C172" t="str">
            <v>광운대</v>
          </cell>
          <cell r="D172" t="str">
            <v>전기</v>
          </cell>
          <cell r="H172" t="str">
            <v>0344-902-0787</v>
          </cell>
          <cell r="I172" t="str">
            <v>018-207-0787</v>
          </cell>
          <cell r="J172">
            <v>170</v>
          </cell>
          <cell r="K172">
            <v>69</v>
          </cell>
          <cell r="L172">
            <v>95</v>
          </cell>
        </row>
        <row r="173">
          <cell r="A173">
            <v>157</v>
          </cell>
          <cell r="B173" t="str">
            <v>정홍주</v>
          </cell>
          <cell r="C173" t="str">
            <v>광운대</v>
          </cell>
          <cell r="D173" t="str">
            <v>전기</v>
          </cell>
          <cell r="E173" t="str">
            <v>광운대</v>
          </cell>
          <cell r="F173" t="str">
            <v>전기공학</v>
          </cell>
          <cell r="H173" t="str">
            <v>02-940-5146</v>
          </cell>
          <cell r="I173" t="str">
            <v>017-274-7237</v>
          </cell>
          <cell r="J173">
            <v>169</v>
          </cell>
          <cell r="K173">
            <v>63</v>
          </cell>
          <cell r="L173">
            <v>95</v>
          </cell>
        </row>
        <row r="174">
          <cell r="A174">
            <v>12</v>
          </cell>
          <cell r="B174" t="str">
            <v>한수영</v>
          </cell>
          <cell r="C174" t="str">
            <v>광운대</v>
          </cell>
          <cell r="D174" t="str">
            <v>전기</v>
          </cell>
          <cell r="E174" t="str">
            <v>광운대</v>
          </cell>
          <cell r="F174" t="str">
            <v>전기공학</v>
          </cell>
          <cell r="H174" t="str">
            <v>02-940-5148</v>
          </cell>
          <cell r="I174" t="str">
            <v>017-752-1583</v>
          </cell>
          <cell r="J174">
            <v>175</v>
          </cell>
          <cell r="K174">
            <v>62</v>
          </cell>
          <cell r="L174">
            <v>100</v>
          </cell>
          <cell r="M174" t="str">
            <v>신검탈락 검증자</v>
          </cell>
        </row>
        <row r="175">
          <cell r="A175">
            <v>11</v>
          </cell>
          <cell r="B175" t="str">
            <v>김남수</v>
          </cell>
          <cell r="C175" t="str">
            <v>광운대</v>
          </cell>
          <cell r="D175" t="str">
            <v>전기</v>
          </cell>
          <cell r="H175" t="str">
            <v>965-7552</v>
          </cell>
          <cell r="I175" t="str">
            <v>017-315-9310</v>
          </cell>
          <cell r="J175">
            <v>180</v>
          </cell>
          <cell r="K175">
            <v>75</v>
          </cell>
          <cell r="L175">
            <v>105</v>
          </cell>
        </row>
        <row r="176">
          <cell r="A176">
            <v>63</v>
          </cell>
          <cell r="B176" t="str">
            <v>배수진</v>
          </cell>
          <cell r="C176" t="str">
            <v>부산대</v>
          </cell>
          <cell r="D176" t="str">
            <v>전기</v>
          </cell>
          <cell r="H176" t="str">
            <v>051-754-2063</v>
          </cell>
          <cell r="I176" t="str">
            <v>011-9550-2063</v>
          </cell>
          <cell r="J176">
            <v>168</v>
          </cell>
          <cell r="K176">
            <v>68</v>
          </cell>
          <cell r="L176">
            <v>95</v>
          </cell>
        </row>
        <row r="177">
          <cell r="A177">
            <v>90</v>
          </cell>
          <cell r="B177" t="str">
            <v>오성룡</v>
          </cell>
          <cell r="C177" t="str">
            <v>부산대</v>
          </cell>
          <cell r="D177" t="str">
            <v>전기</v>
          </cell>
          <cell r="H177" t="str">
            <v>5512882506</v>
          </cell>
          <cell r="I177" t="str">
            <v>019-276-0818</v>
          </cell>
          <cell r="J177">
            <v>171</v>
          </cell>
          <cell r="K177">
            <v>70</v>
          </cell>
          <cell r="L177">
            <v>100</v>
          </cell>
        </row>
        <row r="178">
          <cell r="A178">
            <v>110</v>
          </cell>
          <cell r="B178" t="str">
            <v>이곤</v>
          </cell>
          <cell r="C178" t="str">
            <v>숭실대</v>
          </cell>
          <cell r="D178" t="str">
            <v>전기</v>
          </cell>
          <cell r="E178" t="str">
            <v>숭실대</v>
          </cell>
          <cell r="F178" t="str">
            <v>전기공학</v>
          </cell>
          <cell r="H178" t="str">
            <v>032-654-1779</v>
          </cell>
          <cell r="I178" t="str">
            <v>016-430-1972</v>
          </cell>
          <cell r="J178">
            <v>173</v>
          </cell>
          <cell r="K178">
            <v>56</v>
          </cell>
          <cell r="L178">
            <v>100</v>
          </cell>
        </row>
        <row r="179">
          <cell r="A179">
            <v>14</v>
          </cell>
          <cell r="B179" t="str">
            <v>김선근</v>
          </cell>
          <cell r="C179" t="str">
            <v>인하대</v>
          </cell>
          <cell r="D179" t="str">
            <v>전기</v>
          </cell>
          <cell r="H179" t="str">
            <v>02-723-9361</v>
          </cell>
          <cell r="I179" t="str">
            <v>016-322-8826</v>
          </cell>
          <cell r="J179">
            <v>168</v>
          </cell>
          <cell r="K179">
            <v>61</v>
          </cell>
          <cell r="L179">
            <v>95</v>
          </cell>
        </row>
        <row r="180">
          <cell r="A180">
            <v>114</v>
          </cell>
          <cell r="B180" t="str">
            <v>이상국</v>
          </cell>
          <cell r="C180" t="str">
            <v>인하대</v>
          </cell>
          <cell r="D180" t="str">
            <v>전기</v>
          </cell>
          <cell r="H180" t="str">
            <v>032-518-6939</v>
          </cell>
          <cell r="I180" t="str">
            <v>017-339-9620</v>
          </cell>
          <cell r="J180">
            <v>179</v>
          </cell>
          <cell r="K180">
            <v>66</v>
          </cell>
          <cell r="L180">
            <v>105</v>
          </cell>
        </row>
        <row r="181">
          <cell r="A181">
            <v>172</v>
          </cell>
          <cell r="B181" t="str">
            <v>최동선</v>
          </cell>
          <cell r="C181" t="str">
            <v>인하대</v>
          </cell>
          <cell r="D181" t="str">
            <v>전기</v>
          </cell>
          <cell r="H181" t="str">
            <v>018-237-2625</v>
          </cell>
          <cell r="I181" t="str">
            <v>018-237-2625</v>
          </cell>
          <cell r="J181">
            <v>179</v>
          </cell>
          <cell r="K181">
            <v>64</v>
          </cell>
          <cell r="L181">
            <v>105</v>
          </cell>
        </row>
        <row r="182">
          <cell r="A182">
            <v>61</v>
          </cell>
          <cell r="B182" t="str">
            <v>박화성</v>
          </cell>
          <cell r="C182" t="str">
            <v>중앙대</v>
          </cell>
          <cell r="D182" t="str">
            <v>전기</v>
          </cell>
          <cell r="H182" t="str">
            <v>02-825-9392</v>
          </cell>
          <cell r="I182" t="str">
            <v>016-403-2611</v>
          </cell>
          <cell r="J182">
            <v>170</v>
          </cell>
          <cell r="K182">
            <v>63</v>
          </cell>
          <cell r="L182">
            <v>95</v>
          </cell>
        </row>
        <row r="183">
          <cell r="A183">
            <v>3</v>
          </cell>
          <cell r="B183" t="str">
            <v>노현수</v>
          </cell>
          <cell r="C183" t="str">
            <v>중앙대</v>
          </cell>
          <cell r="D183" t="str">
            <v>전기</v>
          </cell>
          <cell r="H183" t="str">
            <v>02-2246-0130</v>
          </cell>
          <cell r="I183" t="str">
            <v>019-326-0131</v>
          </cell>
          <cell r="J183">
            <v>172</v>
          </cell>
          <cell r="K183">
            <v>68</v>
          </cell>
          <cell r="L183">
            <v>100</v>
          </cell>
          <cell r="M183" t="str">
            <v>추가자</v>
          </cell>
        </row>
        <row r="184">
          <cell r="A184">
            <v>13</v>
          </cell>
          <cell r="B184" t="str">
            <v>김민수</v>
          </cell>
          <cell r="C184" t="str">
            <v>한양대</v>
          </cell>
          <cell r="D184" t="str">
            <v>전기</v>
          </cell>
          <cell r="E184" t="str">
            <v>한양대</v>
          </cell>
          <cell r="F184" t="str">
            <v>전기공학</v>
          </cell>
          <cell r="H184" t="str">
            <v>0345-418-2976</v>
          </cell>
          <cell r="I184" t="str">
            <v>019-264-3412</v>
          </cell>
          <cell r="J184">
            <v>168</v>
          </cell>
          <cell r="K184">
            <v>58</v>
          </cell>
          <cell r="L184">
            <v>95</v>
          </cell>
        </row>
        <row r="185">
          <cell r="A185">
            <v>1</v>
          </cell>
          <cell r="B185" t="str">
            <v>강봉수</v>
          </cell>
          <cell r="C185" t="str">
            <v>한양대</v>
          </cell>
          <cell r="D185" t="str">
            <v>전기</v>
          </cell>
          <cell r="H185" t="str">
            <v>0591-758-3428</v>
          </cell>
          <cell r="J185">
            <v>175</v>
          </cell>
          <cell r="K185">
            <v>65</v>
          </cell>
          <cell r="L185">
            <v>100</v>
          </cell>
        </row>
        <row r="186">
          <cell r="A186">
            <v>97</v>
          </cell>
          <cell r="B186" t="str">
            <v>왕석훈</v>
          </cell>
          <cell r="C186" t="str">
            <v>한양대</v>
          </cell>
          <cell r="D186" t="str">
            <v>전기</v>
          </cell>
          <cell r="H186" t="str">
            <v>02-445-5747</v>
          </cell>
          <cell r="I186" t="str">
            <v>018-203-5747</v>
          </cell>
          <cell r="J186">
            <v>175</v>
          </cell>
          <cell r="K186">
            <v>62</v>
          </cell>
          <cell r="L186">
            <v>100</v>
          </cell>
        </row>
        <row r="187">
          <cell r="A187">
            <v>10</v>
          </cell>
          <cell r="B187" t="str">
            <v>김구성</v>
          </cell>
          <cell r="C187" t="str">
            <v>한양대</v>
          </cell>
          <cell r="D187" t="str">
            <v>전기</v>
          </cell>
          <cell r="H187" t="str">
            <v>0346-521-9252</v>
          </cell>
          <cell r="I187" t="str">
            <v>017-710-0101</v>
          </cell>
          <cell r="J187">
            <v>176</v>
          </cell>
          <cell r="K187">
            <v>64</v>
          </cell>
          <cell r="L187">
            <v>105</v>
          </cell>
        </row>
        <row r="188">
          <cell r="A188">
            <v>144</v>
          </cell>
          <cell r="B188" t="str">
            <v>전대웅</v>
          </cell>
          <cell r="C188" t="str">
            <v>한양대</v>
          </cell>
          <cell r="D188" t="str">
            <v>전기</v>
          </cell>
          <cell r="H188" t="str">
            <v>02) 883-3824</v>
          </cell>
          <cell r="I188" t="str">
            <v>018-271-3824</v>
          </cell>
          <cell r="J188">
            <v>183</v>
          </cell>
          <cell r="K188">
            <v>75</v>
          </cell>
          <cell r="L188">
            <v>110</v>
          </cell>
        </row>
        <row r="189">
          <cell r="A189">
            <v>175</v>
          </cell>
          <cell r="B189" t="str">
            <v>최영식</v>
          </cell>
          <cell r="C189" t="str">
            <v>홍익대</v>
          </cell>
          <cell r="D189" t="str">
            <v>전기</v>
          </cell>
          <cell r="H189" t="str">
            <v>02-658-7468</v>
          </cell>
          <cell r="I189" t="str">
            <v>011-399-7468</v>
          </cell>
          <cell r="J189">
            <v>168</v>
          </cell>
          <cell r="K189">
            <v>61</v>
          </cell>
          <cell r="L189">
            <v>95</v>
          </cell>
        </row>
        <row r="190">
          <cell r="A190">
            <v>79</v>
          </cell>
          <cell r="B190" t="str">
            <v>심창보</v>
          </cell>
          <cell r="C190" t="str">
            <v>연세대</v>
          </cell>
          <cell r="D190" t="str">
            <v>전기</v>
          </cell>
          <cell r="H190" t="str">
            <v>02-320-2842</v>
          </cell>
          <cell r="I190" t="str">
            <v>019-373-9534</v>
          </cell>
          <cell r="J190">
            <v>178</v>
          </cell>
          <cell r="K190">
            <v>70</v>
          </cell>
          <cell r="L190">
            <v>105</v>
          </cell>
        </row>
        <row r="191">
          <cell r="A191">
            <v>9</v>
          </cell>
          <cell r="B191" t="str">
            <v>허경회</v>
          </cell>
          <cell r="C191" t="str">
            <v>연세대</v>
          </cell>
          <cell r="D191" t="str">
            <v>전기</v>
          </cell>
          <cell r="E191" t="str">
            <v>연세대</v>
          </cell>
          <cell r="F191" t="str">
            <v>전기공학</v>
          </cell>
          <cell r="H191" t="str">
            <v>02-913-4859</v>
          </cell>
          <cell r="I191" t="str">
            <v>015-8335-4859</v>
          </cell>
          <cell r="M191" t="str">
            <v>산학장학생</v>
          </cell>
        </row>
        <row r="192">
          <cell r="A192">
            <v>198</v>
          </cell>
          <cell r="B192" t="str">
            <v>양진우</v>
          </cell>
          <cell r="C192" t="str">
            <v>서울대</v>
          </cell>
          <cell r="D192" t="str">
            <v>전기전자제어</v>
          </cell>
          <cell r="E192" t="str">
            <v>서울대</v>
          </cell>
          <cell r="F192" t="str">
            <v>전기전자제어</v>
          </cell>
          <cell r="H192" t="str">
            <v>02-591-3887</v>
          </cell>
          <cell r="I192" t="str">
            <v>015-8390-5206</v>
          </cell>
          <cell r="J192">
            <v>175</v>
          </cell>
          <cell r="K192">
            <v>70</v>
          </cell>
          <cell r="L192">
            <v>100</v>
          </cell>
        </row>
        <row r="193">
          <cell r="A193">
            <v>54</v>
          </cell>
          <cell r="B193" t="str">
            <v>박용순</v>
          </cell>
          <cell r="C193" t="str">
            <v>서울시립대</v>
          </cell>
          <cell r="D193" t="str">
            <v>전기전자제어</v>
          </cell>
          <cell r="H193" t="str">
            <v>02-835-3684</v>
          </cell>
          <cell r="I193" t="str">
            <v>019-296-4297</v>
          </cell>
          <cell r="J193">
            <v>170</v>
          </cell>
          <cell r="K193">
            <v>60</v>
          </cell>
          <cell r="L193">
            <v>95</v>
          </cell>
        </row>
        <row r="194">
          <cell r="A194">
            <v>31</v>
          </cell>
          <cell r="B194" t="str">
            <v>김준수</v>
          </cell>
          <cell r="C194" t="str">
            <v>중앙대</v>
          </cell>
          <cell r="D194" t="str">
            <v>전기전자제어</v>
          </cell>
          <cell r="H194" t="str">
            <v>02-651-4214</v>
          </cell>
          <cell r="I194" t="str">
            <v>016-207-4214</v>
          </cell>
          <cell r="J194">
            <v>170</v>
          </cell>
          <cell r="K194">
            <v>64</v>
          </cell>
          <cell r="L194">
            <v>95</v>
          </cell>
        </row>
        <row r="195">
          <cell r="A195">
            <v>8</v>
          </cell>
          <cell r="B195" t="str">
            <v>고병국</v>
          </cell>
          <cell r="C195" t="str">
            <v>중앙대</v>
          </cell>
          <cell r="D195" t="str">
            <v>전기전자제어</v>
          </cell>
          <cell r="H195" t="str">
            <v>0591-752-2885</v>
          </cell>
          <cell r="I195" t="str">
            <v>017-314-7598</v>
          </cell>
          <cell r="J195">
            <v>171</v>
          </cell>
          <cell r="K195">
            <v>63</v>
          </cell>
          <cell r="L195">
            <v>100</v>
          </cell>
        </row>
        <row r="196">
          <cell r="A196">
            <v>170</v>
          </cell>
          <cell r="B196" t="str">
            <v>천완호</v>
          </cell>
          <cell r="C196" t="str">
            <v>중앙대</v>
          </cell>
          <cell r="D196" t="str">
            <v>전기전자제어</v>
          </cell>
          <cell r="H196" t="str">
            <v>0343-446-7953</v>
          </cell>
          <cell r="I196" t="str">
            <v>011-9756-7147</v>
          </cell>
          <cell r="J196">
            <v>174</v>
          </cell>
          <cell r="K196">
            <v>69</v>
          </cell>
          <cell r="L196">
            <v>100</v>
          </cell>
        </row>
        <row r="197">
          <cell r="A197">
            <v>184</v>
          </cell>
          <cell r="B197" t="str">
            <v>한형희</v>
          </cell>
          <cell r="C197" t="str">
            <v>중앙대</v>
          </cell>
          <cell r="D197" t="str">
            <v>전기전자제어</v>
          </cell>
          <cell r="H197" t="str">
            <v>02-2611-3880</v>
          </cell>
          <cell r="I197" t="str">
            <v>011-447-3880</v>
          </cell>
          <cell r="J197">
            <v>173</v>
          </cell>
          <cell r="K197">
            <v>66</v>
          </cell>
          <cell r="L197">
            <v>100</v>
          </cell>
        </row>
        <row r="198">
          <cell r="A198">
            <v>138</v>
          </cell>
          <cell r="B198" t="str">
            <v>임석현</v>
          </cell>
          <cell r="C198" t="str">
            <v>중앙대</v>
          </cell>
          <cell r="D198" t="str">
            <v>전기전자제어</v>
          </cell>
          <cell r="H198" t="str">
            <v>032-464-0879</v>
          </cell>
          <cell r="I198" t="str">
            <v>016-753-2834</v>
          </cell>
          <cell r="J198">
            <v>176</v>
          </cell>
          <cell r="K198">
            <v>71</v>
          </cell>
          <cell r="L198">
            <v>105</v>
          </cell>
        </row>
        <row r="199">
          <cell r="A199">
            <v>142</v>
          </cell>
          <cell r="B199" t="str">
            <v>장준원</v>
          </cell>
          <cell r="C199" t="str">
            <v>서강대</v>
          </cell>
          <cell r="D199" t="str">
            <v>전자계산</v>
          </cell>
          <cell r="E199" t="str">
            <v>서강대</v>
          </cell>
          <cell r="F199" t="str">
            <v>공학계열기타</v>
          </cell>
          <cell r="H199" t="str">
            <v>02-325-6591</v>
          </cell>
          <cell r="I199" t="str">
            <v>011-795-6598</v>
          </cell>
          <cell r="J199">
            <v>176</v>
          </cell>
          <cell r="K199">
            <v>88</v>
          </cell>
          <cell r="L199">
            <v>105</v>
          </cell>
        </row>
        <row r="200">
          <cell r="A200">
            <v>190</v>
          </cell>
          <cell r="B200" t="str">
            <v>황경태</v>
          </cell>
          <cell r="C200" t="str">
            <v>연세대</v>
          </cell>
          <cell r="D200" t="str">
            <v>전자공</v>
          </cell>
          <cell r="E200" t="str">
            <v>연세대</v>
          </cell>
          <cell r="F200" t="str">
            <v>전자공학</v>
          </cell>
          <cell r="H200" t="str">
            <v>02-420-8607</v>
          </cell>
          <cell r="I200" t="str">
            <v>011-725-8607</v>
          </cell>
          <cell r="J200">
            <v>168</v>
          </cell>
          <cell r="K200">
            <v>58</v>
          </cell>
          <cell r="L200">
            <v>95</v>
          </cell>
        </row>
        <row r="201">
          <cell r="A201">
            <v>67</v>
          </cell>
          <cell r="B201" t="str">
            <v>백승수</v>
          </cell>
          <cell r="C201" t="str">
            <v>한양대</v>
          </cell>
          <cell r="D201" t="str">
            <v>전자공</v>
          </cell>
          <cell r="E201" t="str">
            <v>한양대</v>
          </cell>
          <cell r="F201" t="str">
            <v>전자공학</v>
          </cell>
          <cell r="H201" t="str">
            <v>02-2299-9798</v>
          </cell>
          <cell r="I201" t="str">
            <v>011-9068-6190</v>
          </cell>
          <cell r="J201">
            <v>172</v>
          </cell>
          <cell r="K201">
            <v>56</v>
          </cell>
          <cell r="L201">
            <v>100</v>
          </cell>
        </row>
        <row r="202">
          <cell r="A202">
            <v>6</v>
          </cell>
          <cell r="B202" t="str">
            <v>강세환</v>
          </cell>
          <cell r="C202" t="str">
            <v>한양대</v>
          </cell>
          <cell r="D202" t="str">
            <v>전자공</v>
          </cell>
          <cell r="H202" t="str">
            <v>02-556-0787</v>
          </cell>
          <cell r="I202" t="str">
            <v>011-749-0787</v>
          </cell>
          <cell r="J202">
            <v>176</v>
          </cell>
          <cell r="K202">
            <v>69</v>
          </cell>
          <cell r="L202">
            <v>105</v>
          </cell>
        </row>
        <row r="203">
          <cell r="A203">
            <v>59</v>
          </cell>
          <cell r="B203" t="str">
            <v>박진표</v>
          </cell>
          <cell r="C203" t="str">
            <v>연세대</v>
          </cell>
          <cell r="D203" t="str">
            <v>전자공학</v>
          </cell>
          <cell r="H203" t="str">
            <v>02-442-6758</v>
          </cell>
          <cell r="I203" t="str">
            <v>019-351-6758</v>
          </cell>
          <cell r="J203">
            <v>179</v>
          </cell>
          <cell r="K203">
            <v>78</v>
          </cell>
          <cell r="L203">
            <v>105</v>
          </cell>
        </row>
        <row r="204">
          <cell r="A204">
            <v>34</v>
          </cell>
          <cell r="B204" t="str">
            <v>김태영</v>
          </cell>
          <cell r="C204" t="str">
            <v>한양대</v>
          </cell>
          <cell r="D204" t="str">
            <v>전자공학</v>
          </cell>
          <cell r="I204" t="str">
            <v>016-379-2326</v>
          </cell>
          <cell r="J204">
            <v>174</v>
          </cell>
          <cell r="K204">
            <v>70</v>
          </cell>
          <cell r="L204">
            <v>100</v>
          </cell>
        </row>
        <row r="205">
          <cell r="A205">
            <v>100</v>
          </cell>
          <cell r="B205" t="str">
            <v>유세종</v>
          </cell>
          <cell r="C205" t="str">
            <v>한양대</v>
          </cell>
          <cell r="D205" t="str">
            <v>전자공학</v>
          </cell>
          <cell r="H205" t="str">
            <v>02-712-8847</v>
          </cell>
          <cell r="I205" t="str">
            <v>011-233-8847</v>
          </cell>
          <cell r="J205">
            <v>173</v>
          </cell>
          <cell r="K205">
            <v>65</v>
          </cell>
          <cell r="L205">
            <v>100</v>
          </cell>
        </row>
        <row r="206">
          <cell r="A206">
            <v>83</v>
          </cell>
          <cell r="B206" t="str">
            <v>안태근</v>
          </cell>
          <cell r="C206" t="str">
            <v>성균관대</v>
          </cell>
          <cell r="D206" t="str">
            <v>정보통신공</v>
          </cell>
          <cell r="H206" t="str">
            <v>051-205-2923</v>
          </cell>
          <cell r="I206" t="str">
            <v>016-760-2923</v>
          </cell>
          <cell r="J206">
            <v>178</v>
          </cell>
          <cell r="K206">
            <v>75</v>
          </cell>
          <cell r="L206">
            <v>105</v>
          </cell>
        </row>
        <row r="207">
          <cell r="A207">
            <v>137</v>
          </cell>
          <cell r="B207" t="str">
            <v>이호석</v>
          </cell>
          <cell r="C207" t="str">
            <v>연세대</v>
          </cell>
          <cell r="D207" t="str">
            <v>정치외교</v>
          </cell>
          <cell r="H207" t="str">
            <v>0342-621-0632</v>
          </cell>
          <cell r="I207" t="str">
            <v>018-253-5353</v>
          </cell>
          <cell r="J207">
            <v>183</v>
          </cell>
          <cell r="K207">
            <v>75</v>
          </cell>
          <cell r="L207">
            <v>110</v>
          </cell>
        </row>
        <row r="208">
          <cell r="A208">
            <v>192</v>
          </cell>
          <cell r="B208" t="str">
            <v>황재용</v>
          </cell>
          <cell r="C208" t="str">
            <v>고려대</v>
          </cell>
          <cell r="D208" t="str">
            <v>제어계측</v>
          </cell>
          <cell r="H208" t="str">
            <v>017-348-3110</v>
          </cell>
          <cell r="I208" t="str">
            <v>017-348-3110</v>
          </cell>
          <cell r="J208">
            <v>173</v>
          </cell>
          <cell r="K208">
            <v>63</v>
          </cell>
          <cell r="L208">
            <v>100</v>
          </cell>
        </row>
        <row r="209">
          <cell r="A209">
            <v>3</v>
          </cell>
          <cell r="B209" t="str">
            <v>강석진</v>
          </cell>
          <cell r="C209" t="str">
            <v>북경문화대</v>
          </cell>
          <cell r="D209" t="str">
            <v>중국사상사</v>
          </cell>
          <cell r="H209" t="str">
            <v>0341-983-2372</v>
          </cell>
          <cell r="J209">
            <v>178</v>
          </cell>
          <cell r="K209">
            <v>75</v>
          </cell>
          <cell r="L209">
            <v>105</v>
          </cell>
        </row>
        <row r="210">
          <cell r="A210">
            <v>12</v>
          </cell>
          <cell r="B210" t="str">
            <v>김대길</v>
          </cell>
          <cell r="C210" t="str">
            <v>서울대</v>
          </cell>
          <cell r="D210" t="str">
            <v>지질(과)학</v>
          </cell>
          <cell r="H210" t="str">
            <v>842-5038</v>
          </cell>
          <cell r="I210" t="str">
            <v>016-298-5822</v>
          </cell>
          <cell r="J210">
            <v>172</v>
          </cell>
          <cell r="K210">
            <v>65</v>
          </cell>
          <cell r="L210">
            <v>100</v>
          </cell>
        </row>
        <row r="211">
          <cell r="A211">
            <v>64</v>
          </cell>
          <cell r="B211" t="str">
            <v>배승환</v>
          </cell>
          <cell r="C211" t="str">
            <v>서울대</v>
          </cell>
          <cell r="D211" t="str">
            <v>천연섬유학</v>
          </cell>
          <cell r="H211" t="str">
            <v>02-817-7461</v>
          </cell>
          <cell r="I211" t="str">
            <v>017-292-7461</v>
          </cell>
          <cell r="J211">
            <v>168</v>
          </cell>
          <cell r="K211">
            <v>62</v>
          </cell>
          <cell r="L211">
            <v>95</v>
          </cell>
        </row>
        <row r="212">
          <cell r="A212">
            <v>160</v>
          </cell>
          <cell r="B212" t="str">
            <v>조민호</v>
          </cell>
          <cell r="C212" t="str">
            <v>고려대</v>
          </cell>
          <cell r="D212" t="str">
            <v>컴퓨터</v>
          </cell>
          <cell r="H212" t="str">
            <v>02-987-9260</v>
          </cell>
          <cell r="I212" t="str">
            <v>017-563-1678</v>
          </cell>
          <cell r="J212">
            <v>175</v>
          </cell>
          <cell r="K212">
            <v>68</v>
          </cell>
          <cell r="L212">
            <v>100</v>
          </cell>
        </row>
        <row r="213">
          <cell r="A213">
            <v>2</v>
          </cell>
          <cell r="B213" t="str">
            <v>강석진</v>
          </cell>
          <cell r="C213" t="str">
            <v>단국대</v>
          </cell>
          <cell r="D213" t="str">
            <v>컴퓨터</v>
          </cell>
          <cell r="H213" t="str">
            <v>032-772-8833</v>
          </cell>
          <cell r="I213" t="str">
            <v>018-280-2976</v>
          </cell>
          <cell r="J213">
            <v>171</v>
          </cell>
          <cell r="K213">
            <v>62</v>
          </cell>
          <cell r="L213">
            <v>100</v>
          </cell>
        </row>
        <row r="214">
          <cell r="A214">
            <v>117</v>
          </cell>
          <cell r="B214" t="str">
            <v>이상훈</v>
          </cell>
          <cell r="C214" t="str">
            <v>남인디애나</v>
          </cell>
          <cell r="D214" t="str">
            <v>컴퓨터</v>
          </cell>
          <cell r="H214" t="str">
            <v>0343-397-6508</v>
          </cell>
          <cell r="I214" t="str">
            <v>011-323-2196</v>
          </cell>
          <cell r="J214">
            <v>172</v>
          </cell>
          <cell r="K214">
            <v>61</v>
          </cell>
          <cell r="L214">
            <v>100</v>
          </cell>
        </row>
        <row r="215">
          <cell r="A215">
            <v>72</v>
          </cell>
          <cell r="B215" t="str">
            <v>성홍석</v>
          </cell>
          <cell r="C215" t="str">
            <v>부산대</v>
          </cell>
          <cell r="D215" t="str">
            <v>행정</v>
          </cell>
          <cell r="H215" t="str">
            <v>051-255-1797</v>
          </cell>
          <cell r="I215" t="str">
            <v>019-599-1797</v>
          </cell>
          <cell r="J215">
            <v>172</v>
          </cell>
          <cell r="K215">
            <v>83</v>
          </cell>
          <cell r="L215">
            <v>100</v>
          </cell>
        </row>
        <row r="216">
          <cell r="A216">
            <v>89</v>
          </cell>
          <cell r="B216" t="str">
            <v>오경종</v>
          </cell>
          <cell r="C216" t="str">
            <v>고려대</v>
          </cell>
          <cell r="D216" t="str">
            <v>화공</v>
          </cell>
          <cell r="H216" t="str">
            <v>062-373-4655</v>
          </cell>
          <cell r="I216" t="str">
            <v>011-716-8979</v>
          </cell>
          <cell r="J216">
            <v>174</v>
          </cell>
          <cell r="K216">
            <v>62</v>
          </cell>
          <cell r="L216">
            <v>100</v>
          </cell>
        </row>
        <row r="217">
          <cell r="A217">
            <v>23</v>
          </cell>
          <cell r="B217" t="str">
            <v>김연준</v>
          </cell>
          <cell r="C217" t="str">
            <v>고려대</v>
          </cell>
          <cell r="D217" t="str">
            <v>화공</v>
          </cell>
          <cell r="H217" t="str">
            <v>02-821-4064</v>
          </cell>
          <cell r="I217" t="str">
            <v>017-221-4064</v>
          </cell>
          <cell r="J217">
            <v>176</v>
          </cell>
          <cell r="K217">
            <v>76</v>
          </cell>
          <cell r="L217">
            <v>105</v>
          </cell>
        </row>
        <row r="218">
          <cell r="A218">
            <v>52</v>
          </cell>
          <cell r="B218" t="str">
            <v>박수남</v>
          </cell>
          <cell r="C218" t="str">
            <v>고려대</v>
          </cell>
          <cell r="D218" t="str">
            <v>화공</v>
          </cell>
          <cell r="H218" t="str">
            <v>02-923-8714</v>
          </cell>
          <cell r="I218" t="str">
            <v>016-713-9366</v>
          </cell>
          <cell r="J218">
            <v>176</v>
          </cell>
          <cell r="K218">
            <v>66</v>
          </cell>
          <cell r="L218">
            <v>105</v>
          </cell>
        </row>
        <row r="219">
          <cell r="A219">
            <v>191</v>
          </cell>
          <cell r="B219" t="str">
            <v>황석민</v>
          </cell>
          <cell r="C219" t="str">
            <v>고려대</v>
          </cell>
          <cell r="D219" t="str">
            <v>화공</v>
          </cell>
          <cell r="H219" t="str">
            <v>02-921-9993</v>
          </cell>
          <cell r="I219" t="str">
            <v>019-567-9336</v>
          </cell>
          <cell r="J219">
            <v>175</v>
          </cell>
          <cell r="K219">
            <v>70</v>
          </cell>
          <cell r="L219">
            <v>110</v>
          </cell>
        </row>
        <row r="220">
          <cell r="A220">
            <v>104</v>
          </cell>
          <cell r="B220" t="str">
            <v>윤석주</v>
          </cell>
          <cell r="C220" t="str">
            <v>홍익대</v>
          </cell>
          <cell r="D220" t="str">
            <v>화공</v>
          </cell>
          <cell r="H220" t="str">
            <v>02-445-5861</v>
          </cell>
          <cell r="I220" t="str">
            <v>012-1885-5861</v>
          </cell>
          <cell r="J220">
            <v>188</v>
          </cell>
          <cell r="K220">
            <v>80</v>
          </cell>
          <cell r="L220">
            <v>110</v>
          </cell>
        </row>
        <row r="221">
          <cell r="A221">
            <v>37</v>
          </cell>
          <cell r="B221" t="str">
            <v>김희동</v>
          </cell>
          <cell r="C221" t="str">
            <v>고려대</v>
          </cell>
          <cell r="D221" t="str">
            <v>화공</v>
          </cell>
          <cell r="I221" t="str">
            <v>016-367-0035</v>
          </cell>
          <cell r="J221">
            <v>172</v>
          </cell>
          <cell r="K221">
            <v>66</v>
          </cell>
          <cell r="L221">
            <v>100</v>
          </cell>
        </row>
        <row r="222">
          <cell r="A222">
            <v>106</v>
          </cell>
          <cell r="B222" t="str">
            <v>윤영진</v>
          </cell>
          <cell r="C222" t="str">
            <v>서울대</v>
          </cell>
          <cell r="D222" t="str">
            <v>화공</v>
          </cell>
          <cell r="H222" t="str">
            <v>02-749-4457</v>
          </cell>
          <cell r="I222" t="str">
            <v>011-9766-4550</v>
          </cell>
          <cell r="J222">
            <v>180</v>
          </cell>
          <cell r="K222">
            <v>98</v>
          </cell>
          <cell r="L222">
            <v>105</v>
          </cell>
        </row>
        <row r="223">
          <cell r="A223">
            <v>161</v>
          </cell>
          <cell r="B223" t="str">
            <v>조봉관</v>
          </cell>
          <cell r="C223" t="str">
            <v>고려대</v>
          </cell>
          <cell r="D223" t="str">
            <v>화학</v>
          </cell>
          <cell r="E223" t="str">
            <v>고려대</v>
          </cell>
          <cell r="F223" t="str">
            <v>화학</v>
          </cell>
          <cell r="H223" t="str">
            <v>02-711-9428</v>
          </cell>
          <cell r="I223" t="str">
            <v>011-9001-9428</v>
          </cell>
          <cell r="J223">
            <v>176</v>
          </cell>
          <cell r="K223">
            <v>75</v>
          </cell>
          <cell r="L223">
            <v>105</v>
          </cell>
        </row>
        <row r="224">
          <cell r="A224">
            <v>164</v>
          </cell>
          <cell r="B224" t="str">
            <v>조정인</v>
          </cell>
          <cell r="C224" t="str">
            <v>고려대</v>
          </cell>
          <cell r="D224" t="str">
            <v>화학</v>
          </cell>
          <cell r="H224" t="str">
            <v>02-588-3019</v>
          </cell>
          <cell r="I224" t="str">
            <v>019-297-7002</v>
          </cell>
          <cell r="J224">
            <v>182.5</v>
          </cell>
          <cell r="K224">
            <v>77</v>
          </cell>
          <cell r="L224">
            <v>110</v>
          </cell>
        </row>
        <row r="225">
          <cell r="A225">
            <v>196</v>
          </cell>
          <cell r="B225" t="str">
            <v>최형진</v>
          </cell>
          <cell r="C225" t="str">
            <v>서울대</v>
          </cell>
          <cell r="D225" t="str">
            <v>화학</v>
          </cell>
          <cell r="E225" t="str">
            <v>서울대</v>
          </cell>
          <cell r="F225" t="str">
            <v>화학</v>
          </cell>
          <cell r="H225" t="str">
            <v>02-2634-1327</v>
          </cell>
          <cell r="I225" t="str">
            <v>017-769-1327</v>
          </cell>
          <cell r="J225">
            <v>173</v>
          </cell>
          <cell r="K225">
            <v>63</v>
          </cell>
          <cell r="L225">
            <v>100</v>
          </cell>
        </row>
        <row r="226">
          <cell r="A226">
            <v>8</v>
          </cell>
          <cell r="B226" t="str">
            <v>지상수</v>
          </cell>
          <cell r="C226" t="str">
            <v>연세대</v>
          </cell>
          <cell r="D226" t="str">
            <v>화학</v>
          </cell>
          <cell r="E226" t="str">
            <v>연세대</v>
          </cell>
          <cell r="F226" t="str">
            <v>화학</v>
          </cell>
          <cell r="H226" t="str">
            <v>02-922-3722</v>
          </cell>
          <cell r="I226" t="str">
            <v>017-227-3722</v>
          </cell>
          <cell r="M226" t="str">
            <v>산학장학생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AF32"/>
  <sheetViews>
    <sheetView showGridLines="0" tabSelected="1" view="pageBreakPreview" zoomScaleNormal="85" zoomScaleSheetLayoutView="100" workbookViewId="0">
      <selection activeCell="S25" sqref="S25:T27"/>
    </sheetView>
  </sheetViews>
  <sheetFormatPr defaultColWidth="8.88671875" defaultRowHeight="15"/>
  <cols>
    <col min="1" max="1" width="2.6640625" style="1" customWidth="1"/>
    <col min="2" max="3" width="3.5546875" style="1" customWidth="1"/>
    <col min="4" max="6" width="3.33203125" style="1" customWidth="1"/>
    <col min="7" max="8" width="3.5546875" style="1" customWidth="1"/>
    <col min="9" max="9" width="4" style="1" customWidth="1"/>
    <col min="10" max="23" width="3.88671875" style="1" customWidth="1"/>
    <col min="24" max="26" width="4" style="1" customWidth="1"/>
    <col min="27" max="32" width="4.44140625" style="1" customWidth="1"/>
    <col min="33" max="35" width="2.77734375" style="1" customWidth="1"/>
    <col min="36" max="16384" width="8.88671875" style="1"/>
  </cols>
  <sheetData>
    <row r="2" spans="2:32" ht="26.25">
      <c r="B2" s="51" t="s">
        <v>91</v>
      </c>
      <c r="C2" s="53"/>
      <c r="D2" s="31"/>
      <c r="E2" s="31"/>
      <c r="F2" s="31"/>
      <c r="G2" s="52"/>
      <c r="H2" s="52"/>
      <c r="I2" s="52"/>
      <c r="J2" s="53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2:32" ht="15" customHeight="1"/>
    <row r="4" spans="2:32" ht="22.5" customHeight="1">
      <c r="B4" s="81" t="s">
        <v>92</v>
      </c>
      <c r="C4" s="82"/>
      <c r="D4" s="82"/>
      <c r="E4" s="83"/>
      <c r="F4" s="161" t="s">
        <v>112</v>
      </c>
      <c r="G4" s="162"/>
      <c r="H4" s="162"/>
      <c r="I4" s="162"/>
      <c r="J4" s="162"/>
      <c r="K4" s="162"/>
      <c r="L4" s="162"/>
      <c r="M4" s="162"/>
      <c r="N4" s="163"/>
      <c r="O4" s="163"/>
      <c r="P4" s="164"/>
      <c r="Q4" s="150" t="s">
        <v>93</v>
      </c>
      <c r="R4" s="163"/>
      <c r="S4" s="164"/>
      <c r="T4" s="158" t="s">
        <v>229</v>
      </c>
      <c r="U4" s="159"/>
      <c r="V4" s="159"/>
      <c r="W4" s="159"/>
      <c r="X4" s="159"/>
      <c r="Y4" s="160"/>
      <c r="Z4" s="67"/>
      <c r="AA4" s="138" t="s">
        <v>94</v>
      </c>
      <c r="AB4" s="139"/>
      <c r="AC4" s="138" t="s">
        <v>95</v>
      </c>
      <c r="AD4" s="139"/>
      <c r="AE4" s="138" t="s">
        <v>96</v>
      </c>
      <c r="AF4" s="139"/>
    </row>
    <row r="5" spans="2:32" ht="22.5" customHeight="1">
      <c r="B5" s="150" t="s">
        <v>97</v>
      </c>
      <c r="C5" s="151"/>
      <c r="D5" s="151"/>
      <c r="E5" s="152"/>
      <c r="F5" s="153" t="s">
        <v>200</v>
      </c>
      <c r="G5" s="154"/>
      <c r="H5" s="154"/>
      <c r="I5" s="154"/>
      <c r="J5" s="155"/>
      <c r="K5" s="153" t="s">
        <v>171</v>
      </c>
      <c r="L5" s="154"/>
      <c r="M5" s="155"/>
      <c r="N5" s="153" t="s">
        <v>174</v>
      </c>
      <c r="O5" s="154"/>
      <c r="P5" s="155"/>
      <c r="Q5" s="153" t="s">
        <v>98</v>
      </c>
      <c r="R5" s="154"/>
      <c r="S5" s="155"/>
      <c r="T5" s="153" t="s">
        <v>175</v>
      </c>
      <c r="U5" s="154"/>
      <c r="V5" s="154"/>
      <c r="W5" s="154"/>
      <c r="X5" s="154"/>
      <c r="Y5" s="155"/>
      <c r="Z5" s="68" t="s">
        <v>99</v>
      </c>
      <c r="AA5" s="131"/>
      <c r="AB5" s="132"/>
      <c r="AC5" s="131"/>
      <c r="AD5" s="132"/>
      <c r="AE5" s="131"/>
      <c r="AF5" s="132"/>
    </row>
    <row r="6" spans="2:32" ht="22.5" customHeight="1">
      <c r="B6" s="112" t="s">
        <v>100</v>
      </c>
      <c r="C6" s="113"/>
      <c r="D6" s="113"/>
      <c r="E6" s="114"/>
      <c r="F6" s="143" t="s">
        <v>118</v>
      </c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5"/>
      <c r="Z6" s="68" t="s">
        <v>101</v>
      </c>
      <c r="AA6" s="133"/>
      <c r="AB6" s="134"/>
      <c r="AC6" s="133"/>
      <c r="AD6" s="134"/>
      <c r="AE6" s="133"/>
      <c r="AF6" s="134"/>
    </row>
    <row r="7" spans="2:32" ht="22.5" customHeight="1" thickBot="1">
      <c r="B7" s="115"/>
      <c r="C7" s="110"/>
      <c r="D7" s="110"/>
      <c r="E7" s="111"/>
      <c r="F7" s="146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8"/>
      <c r="Z7" s="77"/>
      <c r="AA7" s="129"/>
      <c r="AB7" s="130"/>
      <c r="AC7" s="129"/>
      <c r="AD7" s="130"/>
      <c r="AE7" s="129"/>
      <c r="AF7" s="130"/>
    </row>
    <row r="8" spans="2:32" ht="22.5" customHeight="1" thickTop="1">
      <c r="B8" s="135" t="s">
        <v>102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7"/>
    </row>
    <row r="9" spans="2:32" ht="16.5" customHeight="1">
      <c r="B9" s="94" t="s">
        <v>103</v>
      </c>
      <c r="C9" s="117"/>
      <c r="D9" s="94" t="s">
        <v>104</v>
      </c>
      <c r="E9" s="116"/>
      <c r="F9" s="117"/>
      <c r="G9" s="112" t="s">
        <v>105</v>
      </c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2" t="s">
        <v>106</v>
      </c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</row>
    <row r="10" spans="2:32" ht="16.5" customHeight="1">
      <c r="B10" s="118"/>
      <c r="C10" s="120"/>
      <c r="D10" s="118"/>
      <c r="E10" s="119"/>
      <c r="F10" s="120"/>
      <c r="G10" s="118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20"/>
      <c r="T10" s="118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20"/>
    </row>
    <row r="11" spans="2:32">
      <c r="B11" s="94">
        <v>0</v>
      </c>
      <c r="C11" s="95"/>
      <c r="D11" s="94" t="str">
        <f>N5</f>
        <v>2023.03.16</v>
      </c>
      <c r="E11" s="170"/>
      <c r="F11" s="95"/>
      <c r="G11" s="140" t="s">
        <v>212</v>
      </c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2"/>
      <c r="T11" s="140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2"/>
    </row>
    <row r="12" spans="2:32">
      <c r="B12" s="104">
        <v>1</v>
      </c>
      <c r="C12" s="105"/>
      <c r="D12" s="104" t="s">
        <v>217</v>
      </c>
      <c r="E12" s="108"/>
      <c r="F12" s="105"/>
      <c r="G12" s="99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1"/>
      <c r="T12" s="99" t="s">
        <v>213</v>
      </c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1"/>
    </row>
    <row r="13" spans="2:32">
      <c r="B13" s="104"/>
      <c r="C13" s="105"/>
      <c r="D13" s="104"/>
      <c r="E13" s="108"/>
      <c r="F13" s="105"/>
      <c r="G13" s="99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1"/>
      <c r="T13" s="99" t="s">
        <v>214</v>
      </c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1"/>
    </row>
    <row r="14" spans="2:32">
      <c r="B14" s="15"/>
      <c r="C14" s="16"/>
      <c r="D14" s="15"/>
      <c r="E14" s="69"/>
      <c r="F14" s="16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2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2:32">
      <c r="B15" s="102"/>
      <c r="C15" s="103"/>
      <c r="D15" s="102"/>
      <c r="E15" s="149"/>
      <c r="F15" s="103"/>
      <c r="G15" s="96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8"/>
      <c r="T15" s="96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8"/>
    </row>
    <row r="16" spans="2:32">
      <c r="B16" s="102"/>
      <c r="C16" s="103"/>
      <c r="D16" s="102"/>
      <c r="E16" s="149"/>
      <c r="F16" s="103"/>
      <c r="G16" s="96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8"/>
      <c r="T16" s="96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8"/>
    </row>
    <row r="17" spans="2:32" ht="15.75" customHeight="1">
      <c r="B17" s="102"/>
      <c r="C17" s="103"/>
      <c r="D17" s="102"/>
      <c r="E17" s="149"/>
      <c r="F17" s="103"/>
      <c r="G17" s="96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8"/>
      <c r="T17" s="96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8"/>
    </row>
    <row r="18" spans="2:32" ht="15.75" customHeight="1">
      <c r="B18" s="15"/>
      <c r="C18" s="16"/>
      <c r="D18" s="15"/>
      <c r="E18" s="69"/>
      <c r="F18" s="16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2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</row>
    <row r="19" spans="2:32" ht="15.75" customHeight="1">
      <c r="B19" s="102"/>
      <c r="C19" s="103"/>
      <c r="D19" s="102"/>
      <c r="E19" s="149"/>
      <c r="F19" s="103"/>
      <c r="G19" s="96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8"/>
      <c r="T19" s="96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8"/>
    </row>
    <row r="20" spans="2:32" ht="15.75" customHeight="1">
      <c r="B20" s="102"/>
      <c r="C20" s="103"/>
      <c r="D20" s="102"/>
      <c r="E20" s="149"/>
      <c r="F20" s="103"/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8"/>
      <c r="T20" s="96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8"/>
    </row>
    <row r="21" spans="2:32">
      <c r="B21" s="102"/>
      <c r="C21" s="103"/>
      <c r="D21" s="102"/>
      <c r="E21" s="156"/>
      <c r="F21" s="157"/>
      <c r="G21" s="96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8"/>
      <c r="T21" s="96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8"/>
    </row>
    <row r="22" spans="2:32" ht="15" customHeight="1">
      <c r="B22" s="70"/>
      <c r="C22" s="71"/>
      <c r="D22" s="70"/>
      <c r="E22" s="71"/>
      <c r="F22" s="72"/>
      <c r="G22" s="70"/>
      <c r="H22" s="71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4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4"/>
    </row>
    <row r="23" spans="2:32" ht="18.75" customHeight="1">
      <c r="B23" s="127" t="s">
        <v>107</v>
      </c>
      <c r="C23" s="117"/>
      <c r="D23" s="121"/>
      <c r="E23" s="122"/>
      <c r="F23" s="123"/>
      <c r="G23" s="127" t="s">
        <v>108</v>
      </c>
      <c r="H23" s="117"/>
      <c r="I23" s="106"/>
      <c r="J23" s="107"/>
      <c r="K23" s="106"/>
      <c r="L23" s="107"/>
      <c r="M23" s="106"/>
      <c r="N23" s="107"/>
      <c r="O23" s="106"/>
      <c r="P23" s="107"/>
      <c r="Q23" s="106"/>
      <c r="R23" s="107"/>
      <c r="S23" s="106"/>
      <c r="T23" s="107"/>
      <c r="U23" s="106"/>
      <c r="V23" s="107"/>
      <c r="W23" s="106"/>
      <c r="X23" s="106"/>
      <c r="Y23" s="86"/>
      <c r="Z23" s="86"/>
      <c r="AA23" s="86"/>
      <c r="AB23" s="86"/>
      <c r="AC23" s="86"/>
      <c r="AD23" s="86"/>
      <c r="AE23" s="86"/>
      <c r="AF23" s="88"/>
    </row>
    <row r="24" spans="2:32" ht="18.75" customHeight="1">
      <c r="B24" s="109"/>
      <c r="C24" s="128"/>
      <c r="D24" s="124"/>
      <c r="E24" s="125"/>
      <c r="F24" s="126"/>
      <c r="G24" s="109"/>
      <c r="H24" s="128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6"/>
      <c r="X24" s="106"/>
      <c r="Y24" s="87"/>
      <c r="Z24" s="87"/>
      <c r="AA24" s="87"/>
      <c r="AB24" s="87"/>
      <c r="AC24" s="87"/>
      <c r="AD24" s="87"/>
      <c r="AE24" s="89"/>
      <c r="AF24" s="89"/>
    </row>
    <row r="25" spans="2:32" ht="15" customHeight="1">
      <c r="B25" s="109"/>
      <c r="C25" s="128"/>
      <c r="D25" s="131" t="s">
        <v>109</v>
      </c>
      <c r="E25" s="165"/>
      <c r="F25" s="132"/>
      <c r="G25" s="109"/>
      <c r="H25" s="128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1"/>
      <c r="Z25" s="91"/>
      <c r="AA25" s="91"/>
      <c r="AB25" s="91"/>
      <c r="AC25" s="91"/>
      <c r="AD25" s="91"/>
      <c r="AE25" s="91"/>
      <c r="AF25" s="91"/>
    </row>
    <row r="26" spans="2:32" ht="15" customHeight="1">
      <c r="B26" s="109"/>
      <c r="C26" s="128"/>
      <c r="D26" s="166"/>
      <c r="E26" s="167"/>
      <c r="F26" s="168"/>
      <c r="G26" s="109"/>
      <c r="H26" s="128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2"/>
      <c r="Z26" s="92"/>
      <c r="AA26" s="92"/>
      <c r="AB26" s="92"/>
      <c r="AC26" s="92"/>
      <c r="AD26" s="92"/>
      <c r="AE26" s="92"/>
      <c r="AF26" s="92"/>
    </row>
    <row r="27" spans="2:32" ht="15" customHeight="1">
      <c r="B27" s="109"/>
      <c r="C27" s="128"/>
      <c r="D27" s="133"/>
      <c r="E27" s="169"/>
      <c r="F27" s="134"/>
      <c r="G27" s="109"/>
      <c r="H27" s="128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3"/>
      <c r="Z27" s="93"/>
      <c r="AA27" s="93"/>
      <c r="AB27" s="93"/>
      <c r="AC27" s="93"/>
      <c r="AD27" s="93"/>
      <c r="AE27" s="93"/>
      <c r="AF27" s="93"/>
    </row>
    <row r="28" spans="2:32" ht="15" customHeight="1">
      <c r="B28" s="118"/>
      <c r="C28" s="120"/>
      <c r="D28" s="78"/>
      <c r="E28" s="79"/>
      <c r="F28" s="80"/>
      <c r="G28" s="118"/>
      <c r="H28" s="120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 spans="2:32" ht="12" customHeight="1">
      <c r="B29" s="75"/>
      <c r="C29" s="58"/>
      <c r="D29" s="58"/>
      <c r="E29" s="58"/>
      <c r="F29" s="59"/>
      <c r="G29" s="75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9"/>
    </row>
    <row r="30" spans="2:32" ht="15" customHeight="1">
      <c r="B30" s="109" t="s">
        <v>110</v>
      </c>
      <c r="C30" s="110"/>
      <c r="D30" s="110"/>
      <c r="E30" s="110"/>
      <c r="F30" s="111"/>
      <c r="G30" s="76"/>
      <c r="H30" s="27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60"/>
    </row>
    <row r="31" spans="2:32" ht="12" customHeight="1">
      <c r="B31" s="61"/>
      <c r="C31" s="62"/>
      <c r="D31" s="62"/>
      <c r="E31" s="62"/>
      <c r="F31" s="63"/>
      <c r="G31" s="61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3"/>
    </row>
    <row r="32" spans="2:32" ht="18" customHeight="1">
      <c r="B32" s="27" t="s">
        <v>111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 t="s">
        <v>210</v>
      </c>
    </row>
  </sheetData>
  <mergeCells count="102">
    <mergeCell ref="G9:S10"/>
    <mergeCell ref="D11:F11"/>
    <mergeCell ref="T21:AF21"/>
    <mergeCell ref="G20:S20"/>
    <mergeCell ref="D21:F21"/>
    <mergeCell ref="Q25:R27"/>
    <mergeCell ref="U28:V28"/>
    <mergeCell ref="T15:AF15"/>
    <mergeCell ref="I25:J27"/>
    <mergeCell ref="O28:P28"/>
    <mergeCell ref="AC4:AD4"/>
    <mergeCell ref="AA4:AB4"/>
    <mergeCell ref="T4:Y4"/>
    <mergeCell ref="F4:P4"/>
    <mergeCell ref="N5:P5"/>
    <mergeCell ref="Q4:S4"/>
    <mergeCell ref="Y25:Z27"/>
    <mergeCell ref="G17:S17"/>
    <mergeCell ref="K23:L24"/>
    <mergeCell ref="S23:T24"/>
    <mergeCell ref="W25:X27"/>
    <mergeCell ref="U25:V27"/>
    <mergeCell ref="D25:F27"/>
    <mergeCell ref="G23:H28"/>
    <mergeCell ref="F5:J5"/>
    <mergeCell ref="K5:M5"/>
    <mergeCell ref="AE4:AF4"/>
    <mergeCell ref="AE7:AF7"/>
    <mergeCell ref="T17:AF17"/>
    <mergeCell ref="T20:AF20"/>
    <mergeCell ref="T19:AF19"/>
    <mergeCell ref="T11:AF11"/>
    <mergeCell ref="T12:AF12"/>
    <mergeCell ref="T13:AF13"/>
    <mergeCell ref="T16:AF16"/>
    <mergeCell ref="F6:Y7"/>
    <mergeCell ref="G13:S13"/>
    <mergeCell ref="D16:F16"/>
    <mergeCell ref="D19:F19"/>
    <mergeCell ref="D20:F20"/>
    <mergeCell ref="G11:S11"/>
    <mergeCell ref="B5:E5"/>
    <mergeCell ref="Q5:S5"/>
    <mergeCell ref="T5:Y5"/>
    <mergeCell ref="B17:C17"/>
    <mergeCell ref="D15:F15"/>
    <mergeCell ref="G15:S15"/>
    <mergeCell ref="D17:F17"/>
    <mergeCell ref="B19:C19"/>
    <mergeCell ref="B20:C20"/>
    <mergeCell ref="B30:F30"/>
    <mergeCell ref="B6:E7"/>
    <mergeCell ref="D9:F10"/>
    <mergeCell ref="B9:C10"/>
    <mergeCell ref="D23:F24"/>
    <mergeCell ref="B23:C28"/>
    <mergeCell ref="B21:C21"/>
    <mergeCell ref="T9:AF10"/>
    <mergeCell ref="AC7:AD7"/>
    <mergeCell ref="AC5:AD6"/>
    <mergeCell ref="AA5:AB6"/>
    <mergeCell ref="AE5:AF6"/>
    <mergeCell ref="B8:AF8"/>
    <mergeCell ref="AA7:AB7"/>
    <mergeCell ref="O25:P27"/>
    <mergeCell ref="M28:N28"/>
    <mergeCell ref="K25:L27"/>
    <mergeCell ref="K28:L28"/>
    <mergeCell ref="I28:J28"/>
    <mergeCell ref="M23:N24"/>
    <mergeCell ref="AE25:AF27"/>
    <mergeCell ref="AC23:AD24"/>
    <mergeCell ref="AA28:AB28"/>
    <mergeCell ref="S25:T27"/>
    <mergeCell ref="B11:C11"/>
    <mergeCell ref="G16:S16"/>
    <mergeCell ref="G12:S12"/>
    <mergeCell ref="B15:C15"/>
    <mergeCell ref="B16:C16"/>
    <mergeCell ref="B13:C13"/>
    <mergeCell ref="I23:J24"/>
    <mergeCell ref="B12:C12"/>
    <mergeCell ref="D12:F12"/>
    <mergeCell ref="D13:F13"/>
    <mergeCell ref="O23:P24"/>
    <mergeCell ref="Q23:R24"/>
    <mergeCell ref="G19:S19"/>
    <mergeCell ref="G21:S21"/>
    <mergeCell ref="AE28:AF28"/>
    <mergeCell ref="AA23:AB24"/>
    <mergeCell ref="AE23:AF24"/>
    <mergeCell ref="AC28:AD28"/>
    <mergeCell ref="W28:X28"/>
    <mergeCell ref="Y28:Z28"/>
    <mergeCell ref="M25:N27"/>
    <mergeCell ref="AC25:AD27"/>
    <mergeCell ref="AA25:AB27"/>
    <mergeCell ref="Y23:Z24"/>
    <mergeCell ref="S28:T28"/>
    <mergeCell ref="Q28:R28"/>
    <mergeCell ref="W23:X24"/>
    <mergeCell ref="U23:V24"/>
  </mergeCells>
  <phoneticPr fontId="2" type="noConversion"/>
  <printOptions horizontalCentered="1"/>
  <pageMargins left="0.33" right="0.32" top="0.51181102362204722" bottom="0.39370078740157483" header="0" footer="0"/>
  <pageSetup paperSize="9" orientation="landscape" horizontalDpi="4294967293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B1:AH49"/>
  <sheetViews>
    <sheetView showGridLines="0" view="pageBreakPreview" zoomScale="115" zoomScaleNormal="80" zoomScaleSheetLayoutView="115" workbookViewId="0">
      <selection activeCell="R35" sqref="R35"/>
    </sheetView>
  </sheetViews>
  <sheetFormatPr defaultColWidth="8.88671875" defaultRowHeight="15"/>
  <cols>
    <col min="1" max="1" width="1.5546875" style="1" customWidth="1"/>
    <col min="2" max="3" width="4" style="1" customWidth="1"/>
    <col min="4" max="6" width="3.88671875" style="1" customWidth="1"/>
    <col min="7" max="9" width="4.6640625" style="1" customWidth="1"/>
    <col min="10" max="12" width="4.77734375" style="1" customWidth="1"/>
    <col min="13" max="19" width="3.88671875" style="1" customWidth="1"/>
    <col min="20" max="20" width="5.5546875" style="1" customWidth="1"/>
    <col min="21" max="22" width="5.44140625" style="1" customWidth="1"/>
    <col min="23" max="24" width="5.6640625" style="1" customWidth="1"/>
    <col min="25" max="26" width="6.21875" style="1" customWidth="1"/>
    <col min="27" max="28" width="3.88671875" style="1" customWidth="1"/>
    <col min="29" max="30" width="3.5546875" style="1" customWidth="1"/>
    <col min="31" max="31" width="3.109375" style="1" customWidth="1"/>
    <col min="32" max="32" width="5.109375" style="1" customWidth="1"/>
    <col min="33" max="34" width="5.33203125" style="1" customWidth="1"/>
    <col min="35" max="37" width="2.77734375" style="1" customWidth="1"/>
    <col min="38" max="16384" width="8.88671875" style="1"/>
  </cols>
  <sheetData>
    <row r="1" spans="2:34" ht="10.5" customHeight="1"/>
    <row r="2" spans="2:34" ht="6" customHeight="1"/>
    <row r="3" spans="2:34" ht="22.5" customHeight="1">
      <c r="B3" s="112"/>
      <c r="C3" s="117"/>
      <c r="D3" s="161" t="s">
        <v>112</v>
      </c>
      <c r="E3" s="162"/>
      <c r="F3" s="162"/>
      <c r="G3" s="162"/>
      <c r="H3" s="162"/>
      <c r="I3" s="162"/>
      <c r="J3" s="162"/>
      <c r="K3" s="171"/>
      <c r="L3" s="161" t="s">
        <v>0</v>
      </c>
      <c r="M3" s="162"/>
      <c r="N3" s="171"/>
      <c r="O3" s="153" t="str">
        <f>甲지!T4</f>
        <v>SHS-P0604</v>
      </c>
      <c r="P3" s="154"/>
      <c r="Q3" s="154"/>
      <c r="R3" s="155"/>
      <c r="S3" s="153" t="s">
        <v>117</v>
      </c>
      <c r="T3" s="154"/>
      <c r="U3" s="155"/>
      <c r="V3" s="153" t="str">
        <f>甲지!N5</f>
        <v>2023.03.16</v>
      </c>
      <c r="W3" s="154"/>
      <c r="X3" s="154"/>
      <c r="Y3" s="155"/>
      <c r="Z3" s="161" t="s">
        <v>52</v>
      </c>
      <c r="AA3" s="162"/>
      <c r="AB3" s="162"/>
      <c r="AC3" s="171"/>
      <c r="AD3" s="177" t="s">
        <v>57</v>
      </c>
      <c r="AE3" s="162"/>
      <c r="AF3" s="162"/>
      <c r="AG3" s="162"/>
      <c r="AH3" s="171"/>
    </row>
    <row r="4" spans="2:34" ht="22.5" customHeight="1">
      <c r="B4" s="118"/>
      <c r="C4" s="120"/>
      <c r="D4" s="161" t="s">
        <v>53</v>
      </c>
      <c r="E4" s="162"/>
      <c r="F4" s="162"/>
      <c r="G4" s="171"/>
      <c r="H4" s="161" t="s">
        <v>67</v>
      </c>
      <c r="I4" s="162"/>
      <c r="J4" s="162"/>
      <c r="K4" s="162"/>
      <c r="L4" s="162"/>
      <c r="M4" s="162"/>
      <c r="N4" s="162"/>
      <c r="O4" s="162"/>
      <c r="P4" s="162"/>
      <c r="Q4" s="162"/>
      <c r="R4" s="171"/>
      <c r="S4" s="161" t="s">
        <v>54</v>
      </c>
      <c r="T4" s="162"/>
      <c r="U4" s="171"/>
      <c r="V4" s="161" t="s">
        <v>55</v>
      </c>
      <c r="W4" s="162"/>
      <c r="X4" s="162"/>
      <c r="Y4" s="171"/>
      <c r="Z4" s="161" t="s">
        <v>1</v>
      </c>
      <c r="AA4" s="162"/>
      <c r="AB4" s="162"/>
      <c r="AC4" s="171"/>
      <c r="AD4" s="161" t="s">
        <v>56</v>
      </c>
      <c r="AE4" s="162"/>
      <c r="AF4" s="162"/>
      <c r="AG4" s="162"/>
      <c r="AH4" s="171"/>
    </row>
    <row r="5" spans="2:34" ht="22.5" customHeight="1">
      <c r="B5" s="173" t="s">
        <v>113</v>
      </c>
      <c r="C5" s="174"/>
      <c r="D5" s="172" t="s">
        <v>122</v>
      </c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38" t="s">
        <v>3</v>
      </c>
      <c r="R5" s="178"/>
      <c r="S5" s="139"/>
      <c r="T5" s="138" t="s">
        <v>114</v>
      </c>
      <c r="U5" s="178"/>
      <c r="V5" s="178"/>
      <c r="W5" s="178"/>
      <c r="X5" s="139"/>
      <c r="Y5" s="112" t="s">
        <v>115</v>
      </c>
      <c r="Z5" s="117"/>
      <c r="AA5" s="127" t="s">
        <v>141</v>
      </c>
      <c r="AB5" s="179"/>
      <c r="AC5" s="179"/>
      <c r="AD5" s="179"/>
      <c r="AE5" s="179"/>
      <c r="AF5" s="179"/>
      <c r="AG5" s="179"/>
      <c r="AH5" s="180"/>
    </row>
    <row r="6" spans="2:34" ht="22.5" customHeight="1">
      <c r="B6" s="175"/>
      <c r="C6" s="176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38" t="str">
        <f>甲지!T5</f>
        <v>김기태</v>
      </c>
      <c r="R6" s="178"/>
      <c r="S6" s="139"/>
      <c r="T6" s="138" t="s">
        <v>140</v>
      </c>
      <c r="U6" s="178"/>
      <c r="V6" s="178"/>
      <c r="W6" s="178"/>
      <c r="X6" s="139"/>
      <c r="Y6" s="118"/>
      <c r="Z6" s="120"/>
      <c r="AA6" s="181"/>
      <c r="AB6" s="182"/>
      <c r="AC6" s="182"/>
      <c r="AD6" s="182"/>
      <c r="AE6" s="182"/>
      <c r="AF6" s="182"/>
      <c r="AG6" s="182"/>
      <c r="AH6" s="183"/>
    </row>
    <row r="7" spans="2:34" ht="20.25" customHeight="1">
      <c r="B7" s="189" t="s">
        <v>4</v>
      </c>
      <c r="C7" s="191"/>
      <c r="D7" s="195" t="s">
        <v>5</v>
      </c>
      <c r="E7" s="196"/>
      <c r="F7" s="196"/>
      <c r="G7" s="196"/>
      <c r="H7" s="196"/>
      <c r="I7" s="196"/>
      <c r="J7" s="196"/>
      <c r="K7" s="196"/>
      <c r="L7" s="197"/>
      <c r="M7" s="189" t="s">
        <v>116</v>
      </c>
      <c r="N7" s="190"/>
      <c r="O7" s="190"/>
      <c r="P7" s="190"/>
      <c r="Q7" s="190"/>
      <c r="R7" s="190"/>
      <c r="S7" s="190"/>
      <c r="T7" s="191"/>
      <c r="U7" s="138" t="s">
        <v>6</v>
      </c>
      <c r="V7" s="178"/>
      <c r="W7" s="178"/>
      <c r="X7" s="139"/>
      <c r="Y7" s="138" t="s">
        <v>7</v>
      </c>
      <c r="Z7" s="178"/>
      <c r="AA7" s="178"/>
      <c r="AB7" s="139"/>
      <c r="AC7" s="112" t="s">
        <v>119</v>
      </c>
      <c r="AD7" s="117"/>
      <c r="AE7" s="112" t="s">
        <v>120</v>
      </c>
      <c r="AF7" s="117"/>
      <c r="AG7" s="127" t="s">
        <v>139</v>
      </c>
      <c r="AH7" s="117"/>
    </row>
    <row r="8" spans="2:34" ht="26.25" customHeight="1">
      <c r="B8" s="192"/>
      <c r="C8" s="194"/>
      <c r="D8" s="138" t="s">
        <v>123</v>
      </c>
      <c r="E8" s="178"/>
      <c r="F8" s="178"/>
      <c r="G8" s="178"/>
      <c r="H8" s="184" t="s">
        <v>202</v>
      </c>
      <c r="I8" s="185"/>
      <c r="J8" s="185"/>
      <c r="K8" s="185"/>
      <c r="L8" s="186"/>
      <c r="M8" s="192"/>
      <c r="N8" s="193"/>
      <c r="O8" s="193"/>
      <c r="P8" s="193"/>
      <c r="Q8" s="193"/>
      <c r="R8" s="193"/>
      <c r="S8" s="193"/>
      <c r="T8" s="194"/>
      <c r="U8" s="138" t="s">
        <v>8</v>
      </c>
      <c r="V8" s="139"/>
      <c r="W8" s="138" t="s">
        <v>9</v>
      </c>
      <c r="X8" s="139"/>
      <c r="Y8" s="138" t="s">
        <v>12</v>
      </c>
      <c r="Z8" s="139"/>
      <c r="AA8" s="138" t="s">
        <v>121</v>
      </c>
      <c r="AB8" s="139"/>
      <c r="AC8" s="118"/>
      <c r="AD8" s="120"/>
      <c r="AE8" s="118"/>
      <c r="AF8" s="120"/>
      <c r="AG8" s="118"/>
      <c r="AH8" s="120"/>
    </row>
    <row r="9" spans="2:34" ht="6.75" customHeight="1">
      <c r="B9" s="7"/>
      <c r="C9" s="4"/>
      <c r="D9" s="2"/>
      <c r="E9" s="3"/>
      <c r="F9" s="3"/>
      <c r="G9" s="3"/>
      <c r="H9" s="3"/>
      <c r="I9" s="3"/>
      <c r="J9" s="3"/>
      <c r="K9" s="3"/>
      <c r="L9" s="4"/>
      <c r="M9" s="5"/>
      <c r="N9" s="6"/>
      <c r="O9" s="6"/>
      <c r="P9" s="6"/>
      <c r="Q9" s="6"/>
      <c r="R9" s="6"/>
      <c r="S9" s="6"/>
      <c r="T9" s="6"/>
      <c r="U9" s="7"/>
      <c r="V9" s="8"/>
      <c r="W9" s="7"/>
      <c r="X9" s="8"/>
      <c r="Y9" s="7"/>
      <c r="Z9" s="8"/>
      <c r="AA9" s="7"/>
      <c r="AB9" s="8"/>
      <c r="AC9" s="7"/>
      <c r="AD9" s="8"/>
      <c r="AE9" s="7"/>
      <c r="AF9" s="8"/>
      <c r="AG9" s="7"/>
      <c r="AH9" s="8"/>
    </row>
    <row r="10" spans="2:34" ht="13.5" customHeight="1">
      <c r="B10" s="187" t="s">
        <v>58</v>
      </c>
      <c r="C10" s="188"/>
      <c r="D10" s="9"/>
      <c r="E10" s="10"/>
      <c r="F10" s="10"/>
      <c r="G10" s="10"/>
      <c r="H10" s="10"/>
      <c r="I10" s="10"/>
      <c r="J10" s="10"/>
      <c r="K10" s="10"/>
      <c r="L10" s="11"/>
      <c r="M10" s="12" t="s">
        <v>129</v>
      </c>
      <c r="N10" s="13"/>
      <c r="O10" s="13"/>
      <c r="P10" s="13"/>
      <c r="Q10" s="13"/>
      <c r="R10" s="13"/>
      <c r="S10" s="13"/>
      <c r="T10" s="13"/>
      <c r="U10" s="102" t="s">
        <v>125</v>
      </c>
      <c r="V10" s="103"/>
      <c r="W10" s="102" t="s">
        <v>132</v>
      </c>
      <c r="X10" s="103"/>
      <c r="Y10" s="102" t="s">
        <v>142</v>
      </c>
      <c r="Z10" s="103"/>
      <c r="AA10" s="96" t="s">
        <v>124</v>
      </c>
      <c r="AB10" s="98"/>
      <c r="AC10" s="102" t="s">
        <v>20</v>
      </c>
      <c r="AD10" s="103"/>
      <c r="AE10" s="102" t="s">
        <v>201</v>
      </c>
      <c r="AF10" s="103"/>
    </row>
    <row r="11" spans="2:34" ht="13.5" customHeight="1">
      <c r="B11" s="187"/>
      <c r="C11" s="188"/>
      <c r="D11" s="9"/>
      <c r="E11" s="10"/>
      <c r="F11" s="10"/>
      <c r="G11" s="10"/>
      <c r="H11" s="10"/>
      <c r="I11" s="10"/>
      <c r="J11" s="10"/>
      <c r="K11" s="10"/>
      <c r="L11" s="11"/>
      <c r="M11" s="12" t="s">
        <v>130</v>
      </c>
      <c r="N11" s="13"/>
      <c r="O11" s="13"/>
      <c r="P11" s="13"/>
      <c r="Q11" s="13"/>
      <c r="R11" s="13"/>
      <c r="S11" s="13"/>
      <c r="T11" s="13"/>
      <c r="U11" s="102" t="s">
        <v>126</v>
      </c>
      <c r="V11" s="103"/>
      <c r="W11" s="102" t="s">
        <v>127</v>
      </c>
      <c r="X11" s="103"/>
      <c r="Y11" s="12"/>
      <c r="Z11" s="14"/>
      <c r="AA11" s="12"/>
      <c r="AB11" s="14"/>
      <c r="AC11" s="102"/>
      <c r="AD11" s="103"/>
      <c r="AE11" s="102"/>
      <c r="AF11" s="103"/>
      <c r="AG11" s="15"/>
      <c r="AH11" s="16"/>
    </row>
    <row r="12" spans="2:34" ht="13.5" customHeight="1">
      <c r="B12" s="187"/>
      <c r="C12" s="188"/>
      <c r="D12" s="9"/>
      <c r="E12" s="10"/>
      <c r="F12" s="10"/>
      <c r="G12" s="10"/>
      <c r="H12" s="10"/>
      <c r="I12" s="10"/>
      <c r="J12" s="10"/>
      <c r="K12" s="10"/>
      <c r="L12" s="11"/>
      <c r="M12" s="12"/>
      <c r="N12" s="13"/>
      <c r="O12" s="13"/>
      <c r="P12" s="13"/>
      <c r="Q12" s="13"/>
      <c r="R12" s="13"/>
      <c r="S12" s="13"/>
      <c r="T12" s="13"/>
      <c r="U12" s="102" t="s">
        <v>127</v>
      </c>
      <c r="V12" s="103"/>
      <c r="W12" s="102" t="s">
        <v>168</v>
      </c>
      <c r="X12" s="103"/>
      <c r="Y12" s="12"/>
      <c r="Z12" s="14"/>
      <c r="AA12" s="12"/>
      <c r="AB12" s="14"/>
      <c r="AC12" s="12"/>
      <c r="AD12" s="14"/>
      <c r="AE12" s="12"/>
      <c r="AF12" s="14"/>
      <c r="AG12" s="15"/>
      <c r="AH12" s="16"/>
    </row>
    <row r="13" spans="2:34" ht="13.5" customHeight="1">
      <c r="B13" s="187"/>
      <c r="C13" s="188"/>
      <c r="D13" s="9"/>
      <c r="E13" s="10"/>
      <c r="F13" s="10"/>
      <c r="G13" s="10"/>
      <c r="H13" s="10"/>
      <c r="I13" s="10"/>
      <c r="J13" s="10"/>
      <c r="K13" s="10"/>
      <c r="L13" s="11"/>
      <c r="M13" s="12"/>
      <c r="N13" s="13"/>
      <c r="O13" s="13"/>
      <c r="P13" s="13"/>
      <c r="Q13" s="13"/>
      <c r="R13" s="13"/>
      <c r="S13" s="13"/>
      <c r="T13" s="13"/>
      <c r="U13" s="102" t="s">
        <v>128</v>
      </c>
      <c r="V13" s="103"/>
      <c r="W13" s="12"/>
      <c r="X13" s="16"/>
      <c r="Y13" s="12"/>
      <c r="Z13" s="16"/>
      <c r="AA13" s="15"/>
      <c r="AB13" s="16"/>
      <c r="AC13" s="15"/>
      <c r="AD13" s="16"/>
      <c r="AE13" s="15"/>
      <c r="AF13" s="16"/>
      <c r="AG13" s="15"/>
      <c r="AH13" s="16"/>
    </row>
    <row r="14" spans="2:34" ht="13.5" customHeight="1">
      <c r="B14" s="187"/>
      <c r="C14" s="188"/>
      <c r="D14" s="9"/>
      <c r="E14" s="10"/>
      <c r="F14" s="10"/>
      <c r="G14" s="10"/>
      <c r="H14" s="10"/>
      <c r="I14" s="10"/>
      <c r="J14" s="10"/>
      <c r="K14" s="10"/>
      <c r="L14" s="11"/>
      <c r="M14" s="12"/>
      <c r="N14" s="13"/>
      <c r="O14" s="13"/>
      <c r="P14" s="13"/>
      <c r="Q14" s="13"/>
      <c r="R14" s="13"/>
      <c r="S14" s="13"/>
      <c r="T14" s="13"/>
      <c r="U14" s="15"/>
      <c r="V14" s="16"/>
      <c r="W14" s="15"/>
      <c r="X14" s="16"/>
      <c r="Y14" s="15"/>
      <c r="Z14" s="16"/>
      <c r="AA14" s="15"/>
      <c r="AB14" s="16"/>
      <c r="AC14" s="15"/>
      <c r="AD14" s="16"/>
      <c r="AE14" s="15"/>
      <c r="AF14" s="16"/>
      <c r="AG14" s="15"/>
      <c r="AH14" s="16"/>
    </row>
    <row r="15" spans="2:34" ht="13.5" customHeight="1">
      <c r="B15" s="187"/>
      <c r="C15" s="188"/>
      <c r="D15" s="9"/>
      <c r="E15" s="10"/>
      <c r="F15" s="10"/>
      <c r="G15" s="10"/>
      <c r="H15" s="10"/>
      <c r="I15" s="10"/>
      <c r="J15" s="10"/>
      <c r="K15" s="10"/>
      <c r="L15" s="11"/>
      <c r="M15" s="12"/>
      <c r="N15" s="13"/>
      <c r="O15" s="13"/>
      <c r="P15" s="13"/>
      <c r="Q15" s="13"/>
      <c r="R15" s="13"/>
      <c r="S15" s="13"/>
      <c r="T15" s="13"/>
      <c r="U15" s="12"/>
      <c r="V15" s="14"/>
      <c r="W15" s="12"/>
      <c r="X15" s="14"/>
      <c r="Y15" s="12"/>
      <c r="Z15" s="14"/>
      <c r="AA15" s="96"/>
      <c r="AB15" s="98"/>
      <c r="AC15" s="102"/>
      <c r="AD15" s="103"/>
      <c r="AE15" s="102"/>
      <c r="AF15" s="103"/>
      <c r="AG15" s="15"/>
      <c r="AH15" s="16"/>
    </row>
    <row r="16" spans="2:34" ht="13.5" customHeight="1">
      <c r="B16" s="187"/>
      <c r="C16" s="188"/>
      <c r="D16" s="9"/>
      <c r="E16" s="10"/>
      <c r="F16" s="10"/>
      <c r="G16" s="10"/>
      <c r="H16" s="10"/>
      <c r="I16" s="10"/>
      <c r="J16" s="10"/>
      <c r="K16" s="10"/>
      <c r="L16" s="11"/>
      <c r="M16" s="12"/>
      <c r="N16" s="13"/>
      <c r="O16" s="13"/>
      <c r="P16" s="13"/>
      <c r="Q16" s="13"/>
      <c r="R16" s="13"/>
      <c r="S16" s="13"/>
      <c r="T16" s="13"/>
      <c r="U16" s="12"/>
      <c r="V16" s="14"/>
      <c r="W16" s="12"/>
      <c r="X16" s="14"/>
      <c r="Y16" s="12"/>
      <c r="Z16" s="14"/>
      <c r="AA16" s="12"/>
      <c r="AB16" s="14"/>
      <c r="AC16" s="102"/>
      <c r="AD16" s="103"/>
      <c r="AE16" s="102"/>
      <c r="AF16" s="103"/>
      <c r="AG16" s="15"/>
      <c r="AH16" s="16"/>
    </row>
    <row r="17" spans="2:34" ht="13.5" customHeight="1">
      <c r="B17" s="187"/>
      <c r="C17" s="188"/>
      <c r="D17" s="9"/>
      <c r="E17" s="10"/>
      <c r="F17" s="10"/>
      <c r="G17" s="10"/>
      <c r="H17" s="10"/>
      <c r="I17" s="10"/>
      <c r="J17" s="10"/>
      <c r="K17" s="10"/>
      <c r="L17" s="11"/>
      <c r="M17" s="12"/>
      <c r="N17" s="13"/>
      <c r="O17" s="13"/>
      <c r="P17" s="13"/>
      <c r="Q17" s="13"/>
      <c r="R17" s="13"/>
      <c r="S17" s="13"/>
      <c r="T17" s="13"/>
      <c r="U17" s="12"/>
      <c r="V17" s="14"/>
      <c r="W17" s="12"/>
      <c r="X17" s="14"/>
      <c r="Y17" s="12"/>
      <c r="Z17" s="14"/>
      <c r="AA17" s="12"/>
      <c r="AB17" s="14"/>
      <c r="AC17" s="15"/>
      <c r="AD17" s="16"/>
      <c r="AE17" s="15"/>
      <c r="AF17" s="16"/>
      <c r="AG17" s="15"/>
      <c r="AH17" s="16"/>
    </row>
    <row r="18" spans="2:34" ht="13.5" customHeight="1">
      <c r="B18" s="23"/>
      <c r="C18" s="19"/>
      <c r="D18" s="17"/>
      <c r="E18" s="18"/>
      <c r="F18" s="18"/>
      <c r="G18" s="18"/>
      <c r="H18" s="18"/>
      <c r="I18" s="18"/>
      <c r="J18" s="18"/>
      <c r="K18" s="18"/>
      <c r="L18" s="19"/>
      <c r="M18" s="20"/>
      <c r="N18" s="21"/>
      <c r="O18" s="21"/>
      <c r="P18" s="21"/>
      <c r="Q18" s="21"/>
      <c r="R18" s="21"/>
      <c r="S18" s="21"/>
      <c r="T18" s="21"/>
      <c r="U18" s="20"/>
      <c r="V18" s="22"/>
      <c r="W18" s="20"/>
      <c r="X18" s="22"/>
      <c r="Y18" s="20"/>
      <c r="Z18" s="22"/>
      <c r="AA18" s="20"/>
      <c r="AB18" s="22"/>
      <c r="AC18" s="20"/>
      <c r="AD18" s="22"/>
      <c r="AE18" s="20"/>
      <c r="AF18" s="22"/>
      <c r="AG18" s="23"/>
      <c r="AH18" s="24"/>
    </row>
    <row r="19" spans="2:34" ht="13.5" customHeight="1">
      <c r="B19" s="15"/>
      <c r="C19" s="11"/>
      <c r="D19" s="9"/>
      <c r="E19" s="10"/>
      <c r="F19" s="10"/>
      <c r="G19" s="10"/>
      <c r="H19" s="10"/>
      <c r="I19" s="10"/>
      <c r="J19" s="10"/>
      <c r="K19" s="10"/>
      <c r="L19" s="11"/>
      <c r="M19" s="12"/>
      <c r="N19" s="13"/>
      <c r="O19" s="13"/>
      <c r="P19" s="13"/>
      <c r="Q19" s="13"/>
      <c r="R19" s="13"/>
      <c r="S19" s="13"/>
      <c r="T19" s="13"/>
      <c r="U19" s="12"/>
      <c r="V19" s="14"/>
      <c r="W19" s="12"/>
      <c r="X19" s="14"/>
      <c r="Y19" s="12"/>
      <c r="Z19" s="14"/>
      <c r="AA19" s="12"/>
      <c r="AB19" s="14"/>
      <c r="AC19" s="12"/>
      <c r="AD19" s="14"/>
      <c r="AE19" s="12"/>
      <c r="AF19" s="14"/>
      <c r="AG19" s="15"/>
      <c r="AH19" s="16"/>
    </row>
    <row r="20" spans="2:34" ht="13.5" customHeight="1">
      <c r="B20" s="187" t="s">
        <v>59</v>
      </c>
      <c r="C20" s="103"/>
      <c r="D20" s="9"/>
      <c r="E20" s="10"/>
      <c r="F20" s="10"/>
      <c r="G20" s="10"/>
      <c r="H20" s="10"/>
      <c r="I20" s="10"/>
      <c r="J20" s="10"/>
      <c r="K20" s="10"/>
      <c r="L20" s="11"/>
      <c r="M20" s="12" t="s">
        <v>165</v>
      </c>
      <c r="N20" s="13"/>
      <c r="O20" s="13"/>
      <c r="P20" s="13"/>
      <c r="Q20" s="13"/>
      <c r="R20" s="13"/>
      <c r="S20" s="13"/>
      <c r="T20" s="13"/>
      <c r="U20" s="12" t="s">
        <v>22</v>
      </c>
      <c r="V20" s="14"/>
      <c r="W20" s="12" t="s">
        <v>133</v>
      </c>
      <c r="X20" s="14"/>
      <c r="Y20" s="102" t="s">
        <v>136</v>
      </c>
      <c r="Z20" s="103"/>
      <c r="AA20" s="12" t="s">
        <v>26</v>
      </c>
      <c r="AB20" s="14"/>
      <c r="AC20" s="102" t="s">
        <v>20</v>
      </c>
      <c r="AD20" s="103"/>
      <c r="AE20" s="102" t="s">
        <v>202</v>
      </c>
      <c r="AF20" s="103"/>
      <c r="AG20" s="15"/>
      <c r="AH20" s="16"/>
    </row>
    <row r="21" spans="2:34" ht="13.5" customHeight="1">
      <c r="B21" s="102"/>
      <c r="C21" s="103"/>
      <c r="D21" s="9"/>
      <c r="E21" s="10"/>
      <c r="F21" s="10"/>
      <c r="G21" s="10"/>
      <c r="H21" s="10"/>
      <c r="I21" s="10"/>
      <c r="J21" s="10"/>
      <c r="K21" s="10"/>
      <c r="L21" s="11"/>
      <c r="M21" s="12"/>
      <c r="N21" s="13"/>
      <c r="O21" s="13"/>
      <c r="P21" s="13"/>
      <c r="Q21" s="13"/>
      <c r="R21" s="13"/>
      <c r="S21" s="13"/>
      <c r="T21" s="13"/>
      <c r="U21" s="12" t="s">
        <v>23</v>
      </c>
      <c r="V21" s="14"/>
      <c r="W21" s="102"/>
      <c r="X21" s="103"/>
      <c r="Y21" s="12"/>
      <c r="Z21" s="14"/>
      <c r="AA21" s="12"/>
      <c r="AB21" s="14"/>
      <c r="AC21" s="102"/>
      <c r="AD21" s="103"/>
      <c r="AE21" s="102"/>
      <c r="AF21" s="103"/>
      <c r="AG21" s="15"/>
      <c r="AH21" s="16"/>
    </row>
    <row r="22" spans="2:34" ht="13.5" customHeight="1">
      <c r="B22" s="102"/>
      <c r="C22" s="103"/>
      <c r="D22" s="9"/>
      <c r="E22" s="10"/>
      <c r="F22" s="10"/>
      <c r="G22" s="10"/>
      <c r="H22" s="10"/>
      <c r="I22" s="10"/>
      <c r="J22" s="10"/>
      <c r="K22" s="10"/>
      <c r="L22" s="11"/>
      <c r="M22" s="12"/>
      <c r="N22" s="13"/>
      <c r="O22" s="13"/>
      <c r="P22" s="13"/>
      <c r="Q22" s="13"/>
      <c r="R22" s="13"/>
      <c r="S22" s="13"/>
      <c r="T22" s="13"/>
      <c r="U22" s="12"/>
      <c r="V22" s="14"/>
      <c r="W22" s="12"/>
      <c r="X22" s="14"/>
      <c r="Y22" s="12"/>
      <c r="Z22" s="14"/>
      <c r="AA22" s="12"/>
      <c r="AB22" s="14"/>
      <c r="AC22" s="12"/>
      <c r="AD22" s="14"/>
      <c r="AE22" s="12"/>
      <c r="AF22" s="14"/>
      <c r="AG22" s="15"/>
      <c r="AH22" s="16"/>
    </row>
    <row r="23" spans="2:34" ht="13.5" customHeight="1">
      <c r="B23" s="102"/>
      <c r="C23" s="103"/>
      <c r="D23" s="9"/>
      <c r="E23" s="10"/>
      <c r="F23" s="10"/>
      <c r="G23" s="10"/>
      <c r="H23" s="10"/>
      <c r="I23" s="10"/>
      <c r="J23" s="10"/>
      <c r="K23" s="10"/>
      <c r="L23" s="11"/>
      <c r="M23" s="12"/>
      <c r="N23" s="13"/>
      <c r="O23" s="13"/>
      <c r="P23" s="13"/>
      <c r="Q23" s="13"/>
      <c r="R23" s="13"/>
      <c r="S23" s="13"/>
      <c r="T23" s="13"/>
      <c r="U23" s="12"/>
      <c r="V23" s="14"/>
      <c r="W23" s="12"/>
      <c r="X23" s="14"/>
      <c r="Y23" s="12"/>
      <c r="Z23" s="14"/>
      <c r="AA23" s="12"/>
      <c r="AB23" s="14"/>
      <c r="AC23" s="12"/>
      <c r="AD23" s="14"/>
      <c r="AE23" s="12"/>
      <c r="AF23" s="14"/>
      <c r="AG23" s="15"/>
      <c r="AH23" s="16"/>
    </row>
    <row r="24" spans="2:34" ht="13.5" customHeight="1">
      <c r="B24" s="102"/>
      <c r="C24" s="103"/>
      <c r="D24" s="9"/>
      <c r="E24" s="10"/>
      <c r="F24" s="10"/>
      <c r="G24" s="10"/>
      <c r="H24" s="10"/>
      <c r="I24" s="10"/>
      <c r="J24" s="10"/>
      <c r="K24" s="10"/>
      <c r="L24" s="11"/>
      <c r="M24" s="12" t="s">
        <v>24</v>
      </c>
      <c r="N24" s="13"/>
      <c r="O24" s="13"/>
      <c r="P24" s="13"/>
      <c r="Q24" s="13"/>
      <c r="R24" s="13"/>
      <c r="S24" s="13"/>
      <c r="T24" s="13"/>
      <c r="U24" s="12" t="s">
        <v>166</v>
      </c>
      <c r="V24" s="14"/>
      <c r="W24" s="102" t="s">
        <v>134</v>
      </c>
      <c r="X24" s="103"/>
      <c r="Y24" s="102" t="s">
        <v>135</v>
      </c>
      <c r="Z24" s="103"/>
      <c r="AA24" s="12" t="s">
        <v>27</v>
      </c>
      <c r="AB24" s="14"/>
      <c r="AC24" s="102" t="s">
        <v>20</v>
      </c>
      <c r="AD24" s="103"/>
      <c r="AE24" s="102" t="s">
        <v>202</v>
      </c>
      <c r="AF24" s="103"/>
      <c r="AG24" s="15"/>
      <c r="AH24" s="16"/>
    </row>
    <row r="25" spans="2:34" ht="13.5" customHeight="1">
      <c r="B25" s="102"/>
      <c r="C25" s="103"/>
      <c r="D25" s="9"/>
      <c r="E25" s="10"/>
      <c r="F25" s="10"/>
      <c r="G25" s="10"/>
      <c r="H25" s="10"/>
      <c r="I25" s="10"/>
      <c r="J25" s="10"/>
      <c r="K25" s="10"/>
      <c r="L25" s="11"/>
      <c r="M25" s="12"/>
      <c r="N25" s="13"/>
      <c r="O25" s="13"/>
      <c r="P25" s="13"/>
      <c r="Q25" s="13"/>
      <c r="R25" s="13"/>
      <c r="S25" s="13"/>
      <c r="T25" s="13"/>
      <c r="U25" s="12" t="s">
        <v>21</v>
      </c>
      <c r="V25" s="14"/>
      <c r="W25" s="12"/>
      <c r="X25" s="14"/>
      <c r="Y25" s="12"/>
      <c r="Z25" s="14"/>
      <c r="AA25" s="12"/>
      <c r="AB25" s="14"/>
      <c r="AC25" s="102"/>
      <c r="AD25" s="103"/>
      <c r="AE25" s="102"/>
      <c r="AF25" s="103"/>
      <c r="AG25" s="15"/>
      <c r="AH25" s="16"/>
    </row>
    <row r="26" spans="2:34" ht="13.5" customHeight="1">
      <c r="B26" s="102"/>
      <c r="C26" s="103"/>
      <c r="D26" s="9"/>
      <c r="E26" s="10"/>
      <c r="F26" s="10"/>
      <c r="G26" s="10"/>
      <c r="H26" s="10"/>
      <c r="I26" s="10"/>
      <c r="J26" s="10"/>
      <c r="K26" s="10"/>
      <c r="L26" s="11"/>
      <c r="M26" s="12"/>
      <c r="N26" s="13"/>
      <c r="O26" s="13"/>
      <c r="P26" s="13"/>
      <c r="Q26" s="13"/>
      <c r="R26" s="13"/>
      <c r="S26" s="13"/>
      <c r="T26" s="13"/>
      <c r="U26" s="12"/>
      <c r="V26" s="14"/>
      <c r="W26" s="12"/>
      <c r="X26" s="14"/>
      <c r="Y26" s="12"/>
      <c r="Z26" s="14"/>
      <c r="AA26" s="12"/>
      <c r="AB26" s="14"/>
      <c r="AC26" s="12"/>
      <c r="AD26" s="14"/>
      <c r="AE26" s="12"/>
      <c r="AF26" s="14"/>
      <c r="AG26" s="15"/>
      <c r="AH26" s="16"/>
    </row>
    <row r="27" spans="2:34" ht="13.5" customHeight="1">
      <c r="B27" s="102"/>
      <c r="C27" s="103"/>
      <c r="D27" s="9"/>
      <c r="E27" s="10"/>
      <c r="F27" s="10"/>
      <c r="G27" s="10"/>
      <c r="H27" s="10"/>
      <c r="I27" s="10"/>
      <c r="J27" s="10"/>
      <c r="K27" s="10"/>
      <c r="L27" s="11"/>
      <c r="M27" s="12"/>
      <c r="N27" s="13"/>
      <c r="O27" s="13"/>
      <c r="P27" s="13"/>
      <c r="Q27" s="13"/>
      <c r="R27" s="13"/>
      <c r="S27" s="13"/>
      <c r="T27" s="13"/>
      <c r="U27" s="12"/>
      <c r="V27" s="14"/>
      <c r="W27" s="12"/>
      <c r="X27" s="14"/>
      <c r="Y27" s="12"/>
      <c r="Z27" s="14"/>
      <c r="AA27" s="12"/>
      <c r="AB27" s="14"/>
      <c r="AC27" s="12"/>
      <c r="AD27" s="14"/>
      <c r="AE27" s="12"/>
      <c r="AF27" s="14"/>
      <c r="AG27" s="15"/>
      <c r="AH27" s="16"/>
    </row>
    <row r="28" spans="2:34" ht="13.5" customHeight="1">
      <c r="B28" s="15"/>
      <c r="C28" s="11"/>
      <c r="D28" s="9"/>
      <c r="E28" s="10"/>
      <c r="F28" s="10"/>
      <c r="G28" s="10"/>
      <c r="H28" s="10"/>
      <c r="I28" s="10"/>
      <c r="J28" s="25"/>
      <c r="K28" s="10"/>
      <c r="L28" s="11"/>
      <c r="M28" s="12"/>
      <c r="N28" s="13"/>
      <c r="O28" s="13"/>
      <c r="P28" s="13"/>
      <c r="Q28" s="13"/>
      <c r="R28" s="13"/>
      <c r="S28" s="13"/>
      <c r="T28" s="13"/>
      <c r="U28" s="12"/>
      <c r="V28" s="14"/>
      <c r="W28" s="12"/>
      <c r="X28" s="14"/>
      <c r="Y28" s="12"/>
      <c r="Z28" s="14"/>
      <c r="AA28" s="12"/>
      <c r="AB28" s="14"/>
      <c r="AC28" s="12"/>
      <c r="AD28" s="14"/>
      <c r="AE28" s="12"/>
      <c r="AF28" s="14"/>
      <c r="AG28" s="15"/>
      <c r="AH28" s="16"/>
    </row>
    <row r="29" spans="2:34" ht="13.5" customHeight="1">
      <c r="B29" s="7"/>
      <c r="C29" s="4"/>
      <c r="D29" s="2"/>
      <c r="E29" s="3"/>
      <c r="F29" s="3"/>
      <c r="G29" s="3"/>
      <c r="H29" s="3"/>
      <c r="I29" s="3"/>
      <c r="J29" s="3"/>
      <c r="K29" s="3"/>
      <c r="L29" s="4"/>
      <c r="M29" s="5"/>
      <c r="N29" s="6"/>
      <c r="O29" s="6"/>
      <c r="P29" s="6"/>
      <c r="Q29" s="6"/>
      <c r="R29" s="6"/>
      <c r="S29" s="6"/>
      <c r="T29" s="6"/>
      <c r="U29" s="5"/>
      <c r="V29" s="26"/>
      <c r="W29" s="5"/>
      <c r="X29" s="26"/>
      <c r="Y29" s="5"/>
      <c r="Z29" s="26"/>
      <c r="AA29" s="5"/>
      <c r="AB29" s="26"/>
      <c r="AC29" s="5"/>
      <c r="AD29" s="26"/>
      <c r="AE29" s="5"/>
      <c r="AF29" s="26"/>
      <c r="AG29" s="7"/>
      <c r="AH29" s="8"/>
    </row>
    <row r="30" spans="2:34" ht="13.5" customHeight="1">
      <c r="B30" s="187" t="s">
        <v>60</v>
      </c>
      <c r="C30" s="103"/>
      <c r="D30" s="9"/>
      <c r="E30" s="10"/>
      <c r="F30" s="10"/>
      <c r="G30" s="10"/>
      <c r="H30" s="10"/>
      <c r="I30" s="10"/>
      <c r="J30" s="10"/>
      <c r="K30" s="10"/>
      <c r="L30" s="11"/>
      <c r="M30" s="12"/>
      <c r="N30" s="13"/>
      <c r="O30" s="13"/>
      <c r="P30" s="13"/>
      <c r="Q30" s="13"/>
      <c r="R30" s="13"/>
      <c r="S30" s="13"/>
      <c r="T30" s="13"/>
      <c r="U30" s="12"/>
      <c r="V30" s="14"/>
      <c r="W30" s="12"/>
      <c r="X30" s="14"/>
      <c r="Y30" s="12"/>
      <c r="Z30" s="14"/>
      <c r="AA30" s="12"/>
      <c r="AB30" s="14"/>
      <c r="AC30" s="12"/>
      <c r="AD30" s="14"/>
      <c r="AE30" s="12"/>
      <c r="AF30" s="14"/>
      <c r="AG30" s="15"/>
      <c r="AH30" s="16"/>
    </row>
    <row r="31" spans="2:34" ht="13.5" customHeight="1">
      <c r="B31" s="102"/>
      <c r="C31" s="103"/>
      <c r="D31" s="9"/>
      <c r="E31" s="10"/>
      <c r="F31" s="10"/>
      <c r="G31" s="10"/>
      <c r="H31" s="10"/>
      <c r="I31" s="10"/>
      <c r="J31" s="10"/>
      <c r="K31" s="10"/>
      <c r="L31" s="11"/>
      <c r="M31" s="12" t="s">
        <v>161</v>
      </c>
      <c r="N31" s="13"/>
      <c r="O31" s="13"/>
      <c r="P31" s="13"/>
      <c r="Q31" s="13"/>
      <c r="R31" s="13"/>
      <c r="S31" s="13"/>
      <c r="T31" s="13"/>
      <c r="U31" s="12" t="s">
        <v>25</v>
      </c>
      <c r="V31" s="14"/>
      <c r="W31" s="12" t="s">
        <v>166</v>
      </c>
      <c r="X31" s="14"/>
      <c r="Y31" s="198" t="s">
        <v>169</v>
      </c>
      <c r="Z31" s="199"/>
      <c r="AA31" s="12" t="s">
        <v>28</v>
      </c>
      <c r="AB31" s="14"/>
      <c r="AC31" s="102" t="s">
        <v>20</v>
      </c>
      <c r="AD31" s="103"/>
      <c r="AE31" s="102" t="s">
        <v>202</v>
      </c>
      <c r="AF31" s="103"/>
      <c r="AG31" s="102" t="s">
        <v>172</v>
      </c>
      <c r="AH31" s="103"/>
    </row>
    <row r="32" spans="2:34" ht="13.5" customHeight="1">
      <c r="B32" s="102"/>
      <c r="C32" s="103"/>
      <c r="D32" s="9"/>
      <c r="E32" s="10"/>
      <c r="F32" s="10"/>
      <c r="G32" s="10"/>
      <c r="H32" s="10"/>
      <c r="I32" s="10"/>
      <c r="J32" s="10"/>
      <c r="K32" s="10"/>
      <c r="L32" s="11"/>
      <c r="M32" s="12" t="s">
        <v>131</v>
      </c>
      <c r="N32" s="13"/>
      <c r="O32" s="13"/>
      <c r="P32" s="13"/>
      <c r="Q32" s="13"/>
      <c r="R32" s="13"/>
      <c r="S32" s="13"/>
      <c r="T32" s="13"/>
      <c r="U32" s="12"/>
      <c r="V32" s="14"/>
      <c r="W32" s="15" t="s">
        <v>137</v>
      </c>
      <c r="X32" s="14"/>
      <c r="Y32" s="198"/>
      <c r="Z32" s="199"/>
      <c r="AA32" s="12"/>
      <c r="AB32" s="14"/>
      <c r="AC32" s="102"/>
      <c r="AD32" s="103"/>
      <c r="AE32" s="102"/>
      <c r="AF32" s="103"/>
      <c r="AG32" s="15"/>
      <c r="AH32" s="16"/>
    </row>
    <row r="33" spans="2:34" ht="13.5" customHeight="1">
      <c r="B33" s="102"/>
      <c r="C33" s="103"/>
      <c r="D33" s="9"/>
      <c r="E33" s="10"/>
      <c r="F33" s="10"/>
      <c r="G33" s="10"/>
      <c r="H33" s="10"/>
      <c r="I33" s="10"/>
      <c r="J33" s="10"/>
      <c r="K33" s="10"/>
      <c r="L33" s="11"/>
      <c r="M33" s="12"/>
      <c r="N33" s="13"/>
      <c r="O33" s="13"/>
      <c r="P33" s="13"/>
      <c r="Q33" s="13"/>
      <c r="R33" s="13"/>
      <c r="S33" s="13"/>
      <c r="T33" s="13"/>
      <c r="U33" s="15"/>
      <c r="V33" s="16"/>
      <c r="W33" s="15"/>
      <c r="X33" s="16"/>
      <c r="Y33" s="15"/>
      <c r="Z33" s="16"/>
      <c r="AA33" s="15"/>
      <c r="AB33" s="16"/>
      <c r="AC33" s="15"/>
      <c r="AD33" s="16"/>
      <c r="AE33" s="15"/>
      <c r="AF33" s="16"/>
      <c r="AG33" s="15"/>
      <c r="AH33" s="16"/>
    </row>
    <row r="34" spans="2:34" ht="13.5" customHeight="1">
      <c r="B34" s="102"/>
      <c r="C34" s="103"/>
      <c r="D34" s="9"/>
      <c r="E34" s="10"/>
      <c r="F34" s="10"/>
      <c r="G34" s="10"/>
      <c r="H34" s="10"/>
      <c r="I34" s="10"/>
      <c r="J34" s="10"/>
      <c r="K34" s="10"/>
      <c r="L34" s="11"/>
      <c r="M34" s="12" t="s">
        <v>162</v>
      </c>
      <c r="N34" s="13"/>
      <c r="O34" s="13"/>
      <c r="P34" s="13"/>
      <c r="Q34" s="13"/>
      <c r="R34" s="13"/>
      <c r="S34" s="13"/>
      <c r="T34" s="13"/>
      <c r="U34" s="102" t="s">
        <v>166</v>
      </c>
      <c r="V34" s="103"/>
      <c r="W34" s="12" t="s">
        <v>166</v>
      </c>
      <c r="X34" s="14"/>
      <c r="Y34" s="198" t="s">
        <v>170</v>
      </c>
      <c r="Z34" s="199"/>
      <c r="AA34" s="12" t="s">
        <v>28</v>
      </c>
      <c r="AB34" s="14"/>
      <c r="AC34" s="102" t="s">
        <v>20</v>
      </c>
      <c r="AD34" s="103"/>
      <c r="AE34" s="102" t="s">
        <v>202</v>
      </c>
      <c r="AF34" s="103"/>
      <c r="AG34" s="102" t="s">
        <v>173</v>
      </c>
      <c r="AH34" s="103"/>
    </row>
    <row r="35" spans="2:34" ht="13.5" customHeight="1">
      <c r="B35" s="102"/>
      <c r="C35" s="103"/>
      <c r="D35" s="9"/>
      <c r="E35" s="10"/>
      <c r="F35" s="10"/>
      <c r="G35" s="10"/>
      <c r="H35" s="10"/>
      <c r="I35" s="10"/>
      <c r="J35" s="10"/>
      <c r="K35" s="10"/>
      <c r="L35" s="11"/>
      <c r="M35" s="12" t="s">
        <v>163</v>
      </c>
      <c r="N35" s="13"/>
      <c r="O35" s="13"/>
      <c r="P35" s="13"/>
      <c r="Q35" s="13"/>
      <c r="R35" s="13"/>
      <c r="S35" s="13"/>
      <c r="T35" s="13"/>
      <c r="U35" s="102"/>
      <c r="V35" s="103"/>
      <c r="W35" s="12" t="s">
        <v>29</v>
      </c>
      <c r="X35" s="14"/>
      <c r="Y35" s="198"/>
      <c r="Z35" s="199"/>
      <c r="AA35" s="12"/>
      <c r="AB35" s="14"/>
      <c r="AC35" s="102"/>
      <c r="AD35" s="103"/>
      <c r="AE35" s="102"/>
      <c r="AF35" s="103"/>
      <c r="AG35" s="15"/>
      <c r="AH35" s="16"/>
    </row>
    <row r="36" spans="2:34" ht="13.5" customHeight="1">
      <c r="B36" s="102"/>
      <c r="C36" s="103"/>
      <c r="D36" s="9"/>
      <c r="E36" s="10"/>
      <c r="F36" s="10"/>
      <c r="G36" s="10"/>
      <c r="H36" s="10"/>
      <c r="I36" s="10"/>
      <c r="J36" s="10"/>
      <c r="K36" s="10"/>
      <c r="L36" s="11"/>
      <c r="M36" s="12" t="s">
        <v>164</v>
      </c>
      <c r="N36" s="13"/>
      <c r="O36" s="13"/>
      <c r="P36" s="13"/>
      <c r="Q36" s="13"/>
      <c r="R36" s="13"/>
      <c r="S36" s="13"/>
      <c r="T36" s="13"/>
      <c r="U36" s="15"/>
      <c r="V36" s="16"/>
      <c r="W36" s="15"/>
      <c r="X36" s="16"/>
      <c r="Y36" s="15"/>
      <c r="Z36" s="16"/>
      <c r="AA36" s="15"/>
      <c r="AB36" s="16"/>
      <c r="AC36" s="15"/>
      <c r="AD36" s="16"/>
      <c r="AE36" s="15"/>
      <c r="AF36" s="16"/>
      <c r="AG36" s="15"/>
      <c r="AH36" s="16"/>
    </row>
    <row r="37" spans="2:34" ht="13.5" customHeight="1">
      <c r="B37" s="102"/>
      <c r="C37" s="103"/>
      <c r="D37" s="9"/>
      <c r="E37" s="10"/>
      <c r="F37" s="10"/>
      <c r="G37" s="10"/>
      <c r="H37" s="10"/>
      <c r="I37" s="10"/>
      <c r="J37" s="10"/>
      <c r="K37" s="10"/>
      <c r="L37" s="11"/>
      <c r="M37" s="12"/>
      <c r="N37" s="13"/>
      <c r="O37" s="13"/>
      <c r="P37" s="13"/>
      <c r="Q37" s="13"/>
      <c r="R37" s="13"/>
      <c r="S37" s="13"/>
      <c r="T37" s="13"/>
      <c r="U37" s="12"/>
      <c r="V37" s="14"/>
      <c r="W37" s="12"/>
      <c r="X37" s="14"/>
      <c r="Y37" s="12"/>
      <c r="Z37" s="14"/>
      <c r="AA37" s="12"/>
      <c r="AB37" s="14"/>
      <c r="AC37" s="102"/>
      <c r="AD37" s="103"/>
      <c r="AE37" s="102"/>
      <c r="AF37" s="103"/>
      <c r="AG37" s="15"/>
      <c r="AH37" s="16"/>
    </row>
    <row r="38" spans="2:34" ht="13.5" customHeight="1">
      <c r="B38" s="102"/>
      <c r="C38" s="103"/>
      <c r="D38" s="9"/>
      <c r="E38" s="10"/>
      <c r="F38" s="10"/>
      <c r="G38" s="10"/>
      <c r="H38" s="10"/>
      <c r="I38" s="10"/>
      <c r="J38" s="10"/>
      <c r="K38" s="10"/>
      <c r="L38" s="11"/>
      <c r="M38" s="12"/>
      <c r="N38" s="13"/>
      <c r="O38" s="13"/>
      <c r="P38" s="13"/>
      <c r="Q38" s="13"/>
      <c r="R38" s="13"/>
      <c r="S38" s="13"/>
      <c r="T38" s="13"/>
      <c r="U38" s="15"/>
      <c r="V38" s="16"/>
      <c r="W38" s="15"/>
      <c r="X38" s="16"/>
      <c r="Y38" s="15"/>
      <c r="Z38" s="16"/>
      <c r="AA38" s="15"/>
      <c r="AB38" s="16"/>
      <c r="AC38" s="15"/>
      <c r="AD38" s="16"/>
      <c r="AE38" s="15"/>
      <c r="AF38" s="16"/>
      <c r="AG38" s="15"/>
      <c r="AH38" s="16"/>
    </row>
    <row r="39" spans="2:34" ht="13.5" customHeight="1">
      <c r="B39" s="15"/>
      <c r="C39" s="11"/>
      <c r="D39" s="9"/>
      <c r="E39" s="10"/>
      <c r="F39" s="10"/>
      <c r="G39" s="10"/>
      <c r="H39" s="10"/>
      <c r="I39" s="10"/>
      <c r="J39" s="10"/>
      <c r="K39" s="10"/>
      <c r="L39" s="11"/>
      <c r="M39" s="12"/>
      <c r="N39" s="13"/>
      <c r="O39" s="13"/>
      <c r="P39" s="13"/>
      <c r="Q39" s="13"/>
      <c r="R39" s="13"/>
      <c r="S39" s="13"/>
      <c r="T39" s="13"/>
      <c r="U39" s="15"/>
      <c r="V39" s="16"/>
      <c r="W39" s="15"/>
      <c r="X39" s="16"/>
      <c r="Y39" s="15"/>
      <c r="Z39" s="16"/>
      <c r="AA39" s="15"/>
      <c r="AB39" s="16"/>
      <c r="AC39" s="15"/>
      <c r="AD39" s="16"/>
      <c r="AE39" s="15"/>
      <c r="AF39" s="16"/>
      <c r="AG39" s="15"/>
      <c r="AH39" s="16"/>
    </row>
    <row r="40" spans="2:34" ht="13.5" customHeight="1">
      <c r="B40" s="7"/>
      <c r="C40" s="4"/>
      <c r="D40" s="2"/>
      <c r="E40" s="3"/>
      <c r="F40" s="3"/>
      <c r="G40" s="3"/>
      <c r="H40" s="3"/>
      <c r="I40" s="3"/>
      <c r="J40" s="3"/>
      <c r="K40" s="3"/>
      <c r="L40" s="4"/>
      <c r="M40" s="5"/>
      <c r="N40" s="6"/>
      <c r="O40" s="6"/>
      <c r="P40" s="6"/>
      <c r="Q40" s="6"/>
      <c r="R40" s="6"/>
      <c r="S40" s="6"/>
      <c r="T40" s="6"/>
      <c r="U40" s="7"/>
      <c r="V40" s="8"/>
      <c r="W40" s="7"/>
      <c r="X40" s="8"/>
      <c r="Y40" s="7"/>
      <c r="Z40" s="8"/>
      <c r="AA40" s="7"/>
      <c r="AB40" s="8"/>
      <c r="AC40" s="7"/>
      <c r="AD40" s="8"/>
      <c r="AE40" s="7"/>
      <c r="AF40" s="8"/>
      <c r="AG40" s="7"/>
      <c r="AH40" s="8"/>
    </row>
    <row r="41" spans="2:34" ht="13.5" customHeight="1">
      <c r="B41" s="102" t="s">
        <v>63</v>
      </c>
      <c r="C41" s="103"/>
      <c r="D41" s="9"/>
      <c r="E41" s="10"/>
      <c r="F41" s="10"/>
      <c r="G41" s="10"/>
      <c r="H41" s="10"/>
      <c r="I41" s="10"/>
      <c r="J41" s="10"/>
      <c r="K41" s="10"/>
      <c r="L41" s="11"/>
      <c r="M41" s="12" t="s">
        <v>167</v>
      </c>
      <c r="N41" s="13"/>
      <c r="O41" s="13"/>
      <c r="P41" s="13"/>
      <c r="Q41" s="13"/>
      <c r="R41" s="13"/>
      <c r="S41" s="13"/>
      <c r="T41" s="13"/>
      <c r="U41" s="12" t="s">
        <v>166</v>
      </c>
      <c r="V41" s="14"/>
      <c r="W41" s="12" t="s">
        <v>31</v>
      </c>
      <c r="X41" s="14"/>
      <c r="Y41" s="102" t="s">
        <v>138</v>
      </c>
      <c r="Z41" s="103"/>
      <c r="AA41" s="12" t="s">
        <v>32</v>
      </c>
      <c r="AB41" s="14"/>
      <c r="AC41" s="102" t="s">
        <v>20</v>
      </c>
      <c r="AD41" s="103"/>
      <c r="AE41" s="102" t="s">
        <v>202</v>
      </c>
      <c r="AF41" s="103"/>
      <c r="AG41" s="15"/>
      <c r="AH41" s="16"/>
    </row>
    <row r="42" spans="2:34" ht="13.5" customHeight="1">
      <c r="B42" s="102"/>
      <c r="C42" s="103"/>
      <c r="D42" s="9"/>
      <c r="E42" s="10"/>
      <c r="F42" s="10"/>
      <c r="G42" s="10"/>
      <c r="H42" s="10"/>
      <c r="I42" s="10"/>
      <c r="J42" s="10"/>
      <c r="K42" s="10"/>
      <c r="L42" s="11"/>
      <c r="M42" s="12" t="s">
        <v>30</v>
      </c>
      <c r="N42" s="13"/>
      <c r="O42" s="13"/>
      <c r="P42" s="13"/>
      <c r="Q42" s="13"/>
      <c r="R42" s="13"/>
      <c r="S42" s="13"/>
      <c r="T42" s="13"/>
      <c r="U42" s="12" t="s">
        <v>29</v>
      </c>
      <c r="V42" s="14"/>
      <c r="W42" s="12" t="s">
        <v>25</v>
      </c>
      <c r="X42" s="14"/>
      <c r="Y42" s="12"/>
      <c r="Z42" s="14"/>
      <c r="AA42" s="12"/>
      <c r="AB42" s="14"/>
      <c r="AC42" s="102"/>
      <c r="AD42" s="103"/>
      <c r="AE42" s="102"/>
      <c r="AF42" s="103"/>
      <c r="AG42" s="15"/>
      <c r="AH42" s="16"/>
    </row>
    <row r="43" spans="2:34" ht="13.5" customHeight="1">
      <c r="B43" s="23"/>
      <c r="C43" s="19"/>
      <c r="D43" s="17"/>
      <c r="E43" s="18"/>
      <c r="F43" s="18"/>
      <c r="G43" s="18"/>
      <c r="H43" s="18"/>
      <c r="I43" s="18"/>
      <c r="J43" s="18"/>
      <c r="K43" s="18"/>
      <c r="L43" s="19"/>
      <c r="M43" s="20"/>
      <c r="N43" s="21"/>
      <c r="O43" s="21"/>
      <c r="P43" s="21"/>
      <c r="Q43" s="21"/>
      <c r="R43" s="21"/>
      <c r="S43" s="21"/>
      <c r="T43" s="21"/>
      <c r="U43" s="23"/>
      <c r="V43" s="24"/>
      <c r="W43" s="23"/>
      <c r="X43" s="24"/>
      <c r="Y43" s="23"/>
      <c r="Z43" s="24"/>
      <c r="AA43" s="23"/>
      <c r="AB43" s="24"/>
      <c r="AC43" s="23"/>
      <c r="AD43" s="24"/>
      <c r="AE43" s="23"/>
      <c r="AF43" s="24"/>
      <c r="AG43" s="23"/>
      <c r="AH43" s="24"/>
    </row>
    <row r="44" spans="2:34" ht="18" customHeight="1">
      <c r="B44" s="27" t="s">
        <v>62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13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H44" s="28" t="s">
        <v>210</v>
      </c>
    </row>
    <row r="49" spans="15:15">
      <c r="O49"/>
    </row>
  </sheetData>
  <mergeCells count="90">
    <mergeCell ref="AG31:AH31"/>
    <mergeCell ref="AG34:AH34"/>
    <mergeCell ref="U34:V35"/>
    <mergeCell ref="Y31:Z32"/>
    <mergeCell ref="Y34:Z35"/>
    <mergeCell ref="AC32:AD32"/>
    <mergeCell ref="AE32:AF32"/>
    <mergeCell ref="AC35:AD35"/>
    <mergeCell ref="AE35:AF35"/>
    <mergeCell ref="B30:C38"/>
    <mergeCell ref="B41:C42"/>
    <mergeCell ref="B10:C17"/>
    <mergeCell ref="U8:V8"/>
    <mergeCell ref="W8:X8"/>
    <mergeCell ref="B20:C27"/>
    <mergeCell ref="M7:T8"/>
    <mergeCell ref="B7:C8"/>
    <mergeCell ref="D7:L7"/>
    <mergeCell ref="AA8:AB8"/>
    <mergeCell ref="D8:G8"/>
    <mergeCell ref="H8:L8"/>
    <mergeCell ref="Y7:AB7"/>
    <mergeCell ref="AG7:AH8"/>
    <mergeCell ref="U7:X7"/>
    <mergeCell ref="AC7:AD8"/>
    <mergeCell ref="AE24:AF24"/>
    <mergeCell ref="AE15:AF15"/>
    <mergeCell ref="AC16:AD16"/>
    <mergeCell ref="AE16:AF16"/>
    <mergeCell ref="AC20:AD20"/>
    <mergeCell ref="AE20:AF20"/>
    <mergeCell ref="B5:C6"/>
    <mergeCell ref="H4:R4"/>
    <mergeCell ref="AD4:AH4"/>
    <mergeCell ref="B3:C4"/>
    <mergeCell ref="Z3:AC3"/>
    <mergeCell ref="AD3:AH3"/>
    <mergeCell ref="D3:K3"/>
    <mergeCell ref="D4:G4"/>
    <mergeCell ref="L3:N3"/>
    <mergeCell ref="S3:U3"/>
    <mergeCell ref="Q5:S5"/>
    <mergeCell ref="T5:X5"/>
    <mergeCell ref="Y5:Z6"/>
    <mergeCell ref="Q6:S6"/>
    <mergeCell ref="T6:X6"/>
    <mergeCell ref="AA5:AH6"/>
    <mergeCell ref="O3:R3"/>
    <mergeCell ref="S4:U4"/>
    <mergeCell ref="V4:Y4"/>
    <mergeCell ref="D5:P6"/>
    <mergeCell ref="Z4:AC4"/>
    <mergeCell ref="AE25:AF25"/>
    <mergeCell ref="AC31:AD31"/>
    <mergeCell ref="AE31:AF31"/>
    <mergeCell ref="AC21:AD21"/>
    <mergeCell ref="V3:Y3"/>
    <mergeCell ref="AA10:AB10"/>
    <mergeCell ref="AC10:AD10"/>
    <mergeCell ref="Y8:Z8"/>
    <mergeCell ref="AE7:AF8"/>
    <mergeCell ref="AE10:AF10"/>
    <mergeCell ref="AC11:AD11"/>
    <mergeCell ref="AE11:AF11"/>
    <mergeCell ref="AA15:AB15"/>
    <mergeCell ref="AC15:AD15"/>
    <mergeCell ref="AE21:AF21"/>
    <mergeCell ref="AC24:AD24"/>
    <mergeCell ref="AC42:AD42"/>
    <mergeCell ref="AE42:AF42"/>
    <mergeCell ref="AC37:AD37"/>
    <mergeCell ref="AE37:AF37"/>
    <mergeCell ref="AC41:AD41"/>
    <mergeCell ref="AE41:AF41"/>
    <mergeCell ref="Y41:Z41"/>
    <mergeCell ref="AC34:AD34"/>
    <mergeCell ref="AE34:AF34"/>
    <mergeCell ref="U10:V10"/>
    <mergeCell ref="U11:V11"/>
    <mergeCell ref="U12:V12"/>
    <mergeCell ref="U13:V13"/>
    <mergeCell ref="W10:X10"/>
    <mergeCell ref="W11:X11"/>
    <mergeCell ref="W12:X12"/>
    <mergeCell ref="Y10:Z10"/>
    <mergeCell ref="W21:X21"/>
    <mergeCell ref="Y20:Z20"/>
    <mergeCell ref="W24:X24"/>
    <mergeCell ref="Y24:Z24"/>
    <mergeCell ref="AC25:AD25"/>
  </mergeCells>
  <phoneticPr fontId="2" type="noConversion"/>
  <printOptions horizontalCentered="1"/>
  <pageMargins left="0.19685039370078741" right="0.19685039370078741" top="0.51" bottom="0.2" header="0" footer="0"/>
  <pageSetup paperSize="9" scale="84" fitToHeight="10" orientation="landscape" horizontalDpi="360" verticalDpi="360" r:id="rId1"/>
  <headerFooter alignWithMargins="0"/>
  <colBreaks count="1" manualBreakCount="1">
    <brk id="3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B1:AL36"/>
  <sheetViews>
    <sheetView showGridLines="0" view="pageBreakPreview" zoomScaleNormal="83" zoomScaleSheetLayoutView="100" workbookViewId="0">
      <selection activeCell="AH36" sqref="AH36"/>
    </sheetView>
  </sheetViews>
  <sheetFormatPr defaultColWidth="8.88671875" defaultRowHeight="15"/>
  <cols>
    <col min="1" max="1" width="1.88671875" style="1" customWidth="1"/>
    <col min="2" max="3" width="4" style="1" customWidth="1"/>
    <col min="4" max="4" width="3" style="1" customWidth="1"/>
    <col min="5" max="6" width="3.5546875" style="1" customWidth="1"/>
    <col min="7" max="7" width="4" style="1" customWidth="1"/>
    <col min="8" max="17" width="3.88671875" style="1" customWidth="1"/>
    <col min="18" max="18" width="5" style="1" customWidth="1"/>
    <col min="19" max="28" width="3.88671875" style="1" customWidth="1"/>
    <col min="29" max="30" width="4" style="1" customWidth="1"/>
    <col min="31" max="32" width="2.6640625" style="1" customWidth="1"/>
    <col min="33" max="34" width="5.33203125" style="1" customWidth="1"/>
    <col min="35" max="37" width="2.77734375" style="1" customWidth="1"/>
    <col min="38" max="16384" width="8.88671875" style="1"/>
  </cols>
  <sheetData>
    <row r="1" spans="2:38" ht="11.25" customHeight="1">
      <c r="B1" s="51"/>
      <c r="C1" s="31"/>
      <c r="D1" s="31"/>
      <c r="E1" s="52"/>
      <c r="F1" s="52"/>
      <c r="G1" s="52"/>
      <c r="H1" s="53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 spans="2:38" ht="22.5" customHeight="1">
      <c r="B2" s="112" t="s">
        <v>2</v>
      </c>
      <c r="C2" s="117"/>
      <c r="D2" s="161" t="s">
        <v>112</v>
      </c>
      <c r="E2" s="162"/>
      <c r="F2" s="162"/>
      <c r="G2" s="162"/>
      <c r="H2" s="162"/>
      <c r="I2" s="162"/>
      <c r="J2" s="162"/>
      <c r="K2" s="171"/>
      <c r="L2" s="161" t="s">
        <v>0</v>
      </c>
      <c r="M2" s="162"/>
      <c r="N2" s="171"/>
      <c r="O2" s="153" t="str">
        <f>甲지!T4</f>
        <v>SHS-P0604</v>
      </c>
      <c r="P2" s="154"/>
      <c r="Q2" s="154"/>
      <c r="R2" s="155"/>
      <c r="S2" s="153" t="s">
        <v>117</v>
      </c>
      <c r="T2" s="154"/>
      <c r="U2" s="155"/>
      <c r="V2" s="153" t="str">
        <f>甲지!N5</f>
        <v>2023.03.16</v>
      </c>
      <c r="W2" s="154"/>
      <c r="X2" s="154"/>
      <c r="Y2" s="155"/>
      <c r="Z2" s="161" t="s">
        <v>52</v>
      </c>
      <c r="AA2" s="162"/>
      <c r="AB2" s="162"/>
      <c r="AC2" s="171"/>
      <c r="AD2" s="177" t="s">
        <v>57</v>
      </c>
      <c r="AE2" s="162"/>
      <c r="AF2" s="162"/>
      <c r="AG2" s="162"/>
      <c r="AH2" s="171"/>
    </row>
    <row r="3" spans="2:38" ht="22.5" customHeight="1">
      <c r="B3" s="109"/>
      <c r="C3" s="128"/>
      <c r="D3" s="161" t="s">
        <v>53</v>
      </c>
      <c r="E3" s="162"/>
      <c r="F3" s="162"/>
      <c r="G3" s="171"/>
      <c r="H3" s="161" t="s">
        <v>66</v>
      </c>
      <c r="I3" s="162"/>
      <c r="J3" s="162"/>
      <c r="K3" s="162"/>
      <c r="L3" s="162"/>
      <c r="M3" s="162"/>
      <c r="N3" s="162"/>
      <c r="O3" s="162"/>
      <c r="P3" s="162"/>
      <c r="Q3" s="162"/>
      <c r="R3" s="171"/>
      <c r="S3" s="161" t="s">
        <v>54</v>
      </c>
      <c r="T3" s="162"/>
      <c r="U3" s="171"/>
      <c r="V3" s="161" t="s">
        <v>55</v>
      </c>
      <c r="W3" s="162"/>
      <c r="X3" s="162"/>
      <c r="Y3" s="171"/>
      <c r="Z3" s="161" t="s">
        <v>1</v>
      </c>
      <c r="AA3" s="162"/>
      <c r="AB3" s="162"/>
      <c r="AC3" s="171"/>
      <c r="AD3" s="161" t="s">
        <v>56</v>
      </c>
      <c r="AE3" s="162"/>
      <c r="AF3" s="162"/>
      <c r="AG3" s="162"/>
      <c r="AH3" s="171"/>
    </row>
    <row r="4" spans="2:38" s="35" customFormat="1" ht="16.5" customHeight="1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  <c r="S4" s="32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4"/>
    </row>
    <row r="5" spans="2:38" s="35" customFormat="1" ht="16.5" customHeight="1">
      <c r="B5" s="36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37"/>
      <c r="S5" s="36" t="s">
        <v>13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37"/>
    </row>
    <row r="6" spans="2:38" s="35" customFormat="1" ht="16.5" customHeight="1">
      <c r="B6" s="36" t="s">
        <v>77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37"/>
      <c r="S6" s="35" t="s">
        <v>203</v>
      </c>
      <c r="AH6" s="37"/>
    </row>
    <row r="7" spans="2:38" s="35" customFormat="1" ht="16.5" customHeight="1">
      <c r="B7" s="36" t="s">
        <v>33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37"/>
      <c r="S7" s="35" t="s">
        <v>83</v>
      </c>
      <c r="AH7" s="37"/>
    </row>
    <row r="8" spans="2:38" s="35" customFormat="1" ht="16.5" customHeight="1">
      <c r="B8" s="36" t="s">
        <v>34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37"/>
      <c r="S8" s="36" t="s">
        <v>84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37"/>
    </row>
    <row r="9" spans="2:38" s="35" customFormat="1" ht="16.5" customHeight="1">
      <c r="B9" s="36" t="s">
        <v>35</v>
      </c>
      <c r="C9" s="38"/>
      <c r="D9" s="38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37"/>
      <c r="S9" s="36" t="s">
        <v>85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37"/>
    </row>
    <row r="10" spans="2:38" s="35" customFormat="1">
      <c r="B10" s="36" t="s">
        <v>36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37"/>
      <c r="AH10" s="39"/>
    </row>
    <row r="11" spans="2:38" s="35" customFormat="1">
      <c r="B11" s="36" t="s">
        <v>78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37"/>
      <c r="S11" s="36" t="s">
        <v>148</v>
      </c>
      <c r="T11" s="25"/>
      <c r="U11" s="25"/>
      <c r="V11" s="25"/>
      <c r="W11" s="25"/>
      <c r="X11" s="25"/>
      <c r="Y11" s="25"/>
      <c r="Z11" s="25"/>
      <c r="AA11" s="25"/>
      <c r="AB11" s="25"/>
      <c r="AC11" s="10"/>
      <c r="AD11" s="10"/>
      <c r="AE11" s="10"/>
      <c r="AF11" s="10"/>
      <c r="AG11" s="10"/>
      <c r="AH11" s="37"/>
      <c r="AJ11" s="25"/>
      <c r="AK11" s="25"/>
      <c r="AL11" s="25"/>
    </row>
    <row r="12" spans="2:38" s="35" customFormat="1">
      <c r="B12" s="36" t="s">
        <v>37</v>
      </c>
      <c r="C12" s="38"/>
      <c r="D12" s="38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37"/>
      <c r="S12" s="36"/>
      <c r="T12" s="112" t="s">
        <v>49</v>
      </c>
      <c r="U12" s="116"/>
      <c r="V12" s="116"/>
      <c r="W12" s="116"/>
      <c r="X12" s="116"/>
      <c r="Y12" s="116"/>
      <c r="Z12" s="116"/>
      <c r="AA12" s="116"/>
      <c r="AB12" s="117"/>
      <c r="AC12" s="112" t="s">
        <v>14</v>
      </c>
      <c r="AD12" s="116"/>
      <c r="AE12" s="116"/>
      <c r="AF12" s="116"/>
      <c r="AG12" s="117"/>
      <c r="AH12" s="37"/>
      <c r="AJ12" s="25"/>
      <c r="AK12" s="25"/>
      <c r="AL12" s="25"/>
    </row>
    <row r="13" spans="2:38" s="35" customFormat="1">
      <c r="B13" s="36" t="s">
        <v>38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37"/>
      <c r="S13" s="36"/>
      <c r="T13" s="118"/>
      <c r="U13" s="119"/>
      <c r="V13" s="119"/>
      <c r="W13" s="119"/>
      <c r="X13" s="119"/>
      <c r="Y13" s="119"/>
      <c r="Z13" s="119"/>
      <c r="AA13" s="119"/>
      <c r="AB13" s="120"/>
      <c r="AC13" s="118"/>
      <c r="AD13" s="119"/>
      <c r="AE13" s="119"/>
      <c r="AF13" s="119"/>
      <c r="AG13" s="120"/>
      <c r="AH13" s="37"/>
      <c r="AJ13" s="25"/>
      <c r="AK13" s="25"/>
      <c r="AL13" s="25"/>
    </row>
    <row r="14" spans="2:38" s="35" customFormat="1">
      <c r="B14" s="36" t="s">
        <v>79</v>
      </c>
      <c r="C14" s="38"/>
      <c r="D14" s="38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37"/>
      <c r="S14" s="36"/>
      <c r="T14" s="36" t="s">
        <v>61</v>
      </c>
      <c r="U14" s="25"/>
      <c r="V14" s="25"/>
      <c r="W14" s="25"/>
      <c r="X14" s="25"/>
      <c r="Y14" s="25"/>
      <c r="Z14" s="25"/>
      <c r="AA14" s="25"/>
      <c r="AB14" s="37"/>
      <c r="AC14" s="112" t="s">
        <v>202</v>
      </c>
      <c r="AD14" s="116"/>
      <c r="AE14" s="116"/>
      <c r="AF14" s="116"/>
      <c r="AG14" s="117"/>
      <c r="AH14" s="37"/>
      <c r="AJ14" s="25"/>
      <c r="AK14" s="25"/>
      <c r="AL14" s="25"/>
    </row>
    <row r="15" spans="2:38" s="35" customFormat="1">
      <c r="B15" s="36" t="s">
        <v>39</v>
      </c>
      <c r="C15" s="38"/>
      <c r="D15" s="38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37"/>
      <c r="S15" s="36"/>
      <c r="T15" s="36" t="s">
        <v>50</v>
      </c>
      <c r="U15" s="25"/>
      <c r="V15" s="25"/>
      <c r="W15" s="25"/>
      <c r="X15" s="25"/>
      <c r="Y15" s="25"/>
      <c r="Z15" s="25"/>
      <c r="AA15" s="25"/>
      <c r="AB15" s="37"/>
      <c r="AC15" s="109"/>
      <c r="AD15" s="200"/>
      <c r="AE15" s="200"/>
      <c r="AF15" s="200"/>
      <c r="AG15" s="128"/>
      <c r="AH15" s="37"/>
    </row>
    <row r="16" spans="2:38" s="35" customFormat="1">
      <c r="B16" s="36" t="s">
        <v>80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37"/>
      <c r="S16" s="36"/>
      <c r="T16" s="36" t="s">
        <v>51</v>
      </c>
      <c r="U16" s="25"/>
      <c r="V16" s="25"/>
      <c r="W16" s="25"/>
      <c r="X16" s="25"/>
      <c r="Y16" s="25"/>
      <c r="Z16" s="25"/>
      <c r="AA16" s="25"/>
      <c r="AB16" s="37"/>
      <c r="AC16" s="109"/>
      <c r="AD16" s="200"/>
      <c r="AE16" s="200"/>
      <c r="AF16" s="200"/>
      <c r="AG16" s="128"/>
      <c r="AH16" s="37"/>
    </row>
    <row r="17" spans="2:34" s="35" customFormat="1">
      <c r="B17" s="36" t="s">
        <v>40</v>
      </c>
      <c r="C17" s="25"/>
      <c r="D17" s="40"/>
      <c r="E17" s="25"/>
      <c r="F17" s="25"/>
      <c r="G17" s="40"/>
      <c r="H17" s="40"/>
      <c r="I17" s="40"/>
      <c r="J17" s="25"/>
      <c r="K17" s="25"/>
      <c r="L17" s="25"/>
      <c r="M17" s="25"/>
      <c r="N17" s="25"/>
      <c r="O17" s="25"/>
      <c r="P17" s="25"/>
      <c r="Q17" s="25"/>
      <c r="R17" s="37"/>
      <c r="S17" s="36"/>
      <c r="T17" s="41" t="s">
        <v>144</v>
      </c>
      <c r="U17" s="42"/>
      <c r="V17" s="42"/>
      <c r="W17" s="42"/>
      <c r="X17" s="42"/>
      <c r="Y17" s="42"/>
      <c r="Z17" s="42"/>
      <c r="AA17" s="42"/>
      <c r="AB17" s="43"/>
      <c r="AC17" s="18"/>
      <c r="AD17" s="18"/>
      <c r="AE17" s="18"/>
      <c r="AF17" s="18"/>
      <c r="AG17" s="19"/>
      <c r="AH17" s="37"/>
    </row>
    <row r="18" spans="2:34" s="35" customFormat="1">
      <c r="B18" s="36" t="s">
        <v>81</v>
      </c>
      <c r="C18" s="40"/>
      <c r="D18" s="40"/>
      <c r="E18" s="25"/>
      <c r="F18" s="25"/>
      <c r="G18" s="40"/>
      <c r="H18" s="40"/>
      <c r="I18" s="40"/>
      <c r="J18" s="25"/>
      <c r="K18" s="25"/>
      <c r="L18" s="25"/>
      <c r="M18" s="25"/>
      <c r="N18" s="25"/>
      <c r="O18" s="25"/>
      <c r="P18" s="25"/>
      <c r="Q18" s="25"/>
      <c r="R18" s="37"/>
      <c r="AH18" s="39"/>
    </row>
    <row r="19" spans="2:34" s="35" customFormat="1">
      <c r="B19" s="36" t="s">
        <v>41</v>
      </c>
      <c r="C19" s="40"/>
      <c r="D19" s="40"/>
      <c r="E19" s="25"/>
      <c r="F19" s="25"/>
      <c r="G19" s="44"/>
      <c r="H19" s="44"/>
      <c r="I19" s="44"/>
      <c r="J19" s="25"/>
      <c r="K19" s="25"/>
      <c r="L19" s="25"/>
      <c r="M19" s="25"/>
      <c r="N19" s="25"/>
      <c r="O19" s="25"/>
      <c r="P19" s="25"/>
      <c r="Q19" s="25"/>
      <c r="R19" s="37"/>
      <c r="S19" s="36" t="s">
        <v>15</v>
      </c>
      <c r="T19" s="25"/>
      <c r="U19" s="2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37"/>
    </row>
    <row r="20" spans="2:34" s="35" customFormat="1">
      <c r="B20" s="36" t="s">
        <v>65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37"/>
      <c r="S20" s="36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37"/>
    </row>
    <row r="21" spans="2:34" s="35" customFormat="1">
      <c r="B21" s="36" t="s">
        <v>64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37"/>
      <c r="S21" s="36"/>
      <c r="T21" s="91" t="s">
        <v>16</v>
      </c>
      <c r="U21" s="112" t="s">
        <v>17</v>
      </c>
      <c r="V21" s="116"/>
      <c r="W21" s="116"/>
      <c r="X21" s="116"/>
      <c r="Y21" s="116"/>
      <c r="Z21" s="116"/>
      <c r="AA21" s="117"/>
      <c r="AB21" s="112" t="s">
        <v>18</v>
      </c>
      <c r="AC21" s="116"/>
      <c r="AD21" s="117"/>
      <c r="AE21" s="112" t="s">
        <v>19</v>
      </c>
      <c r="AF21" s="116"/>
      <c r="AG21" s="117"/>
      <c r="AH21" s="37"/>
    </row>
    <row r="22" spans="2:34" s="35" customFormat="1">
      <c r="B22" s="3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37"/>
      <c r="S22" s="36"/>
      <c r="T22" s="93"/>
      <c r="U22" s="118"/>
      <c r="V22" s="119"/>
      <c r="W22" s="119"/>
      <c r="X22" s="119"/>
      <c r="Y22" s="119"/>
      <c r="Z22" s="119"/>
      <c r="AA22" s="120"/>
      <c r="AB22" s="118"/>
      <c r="AC22" s="119"/>
      <c r="AD22" s="120"/>
      <c r="AE22" s="118"/>
      <c r="AF22" s="119"/>
      <c r="AG22" s="120"/>
      <c r="AH22" s="37"/>
    </row>
    <row r="23" spans="2:34" s="35" customFormat="1">
      <c r="B23" s="36" t="s">
        <v>11</v>
      </c>
      <c r="C23" s="25"/>
      <c r="D23" s="40"/>
      <c r="E23" s="25"/>
      <c r="F23" s="25"/>
      <c r="G23" s="40"/>
      <c r="H23" s="40"/>
      <c r="I23" s="40"/>
      <c r="J23" s="25"/>
      <c r="K23" s="25"/>
      <c r="L23" s="40"/>
      <c r="M23" s="40"/>
      <c r="N23" s="40"/>
      <c r="O23" s="40"/>
      <c r="P23" s="25"/>
      <c r="Q23" s="25"/>
      <c r="R23" s="37"/>
      <c r="S23" s="36"/>
      <c r="T23" s="46">
        <v>1</v>
      </c>
      <c r="U23" s="47" t="s">
        <v>145</v>
      </c>
      <c r="V23" s="29"/>
      <c r="W23" s="29"/>
      <c r="X23" s="29"/>
      <c r="Y23" s="29"/>
      <c r="Z23" s="29"/>
      <c r="AA23" s="30"/>
      <c r="AB23" s="138" t="s">
        <v>147</v>
      </c>
      <c r="AC23" s="178"/>
      <c r="AD23" s="139"/>
      <c r="AE23" s="138" t="s">
        <v>202</v>
      </c>
      <c r="AF23" s="178"/>
      <c r="AG23" s="139"/>
      <c r="AH23" s="37"/>
    </row>
    <row r="24" spans="2:34" s="35" customFormat="1">
      <c r="B24" s="36" t="s">
        <v>204</v>
      </c>
      <c r="C24" s="40"/>
      <c r="D24" s="40"/>
      <c r="E24" s="25"/>
      <c r="F24" s="25"/>
      <c r="G24" s="40"/>
      <c r="H24" s="40"/>
      <c r="I24" s="40"/>
      <c r="J24" s="25"/>
      <c r="K24" s="25"/>
      <c r="L24" s="40"/>
      <c r="M24" s="40"/>
      <c r="N24" s="40"/>
      <c r="O24" s="40"/>
      <c r="P24" s="25"/>
      <c r="Q24" s="25"/>
      <c r="R24" s="37"/>
      <c r="T24" s="46">
        <v>2</v>
      </c>
      <c r="U24" s="47" t="s">
        <v>146</v>
      </c>
      <c r="V24" s="29"/>
      <c r="W24" s="29"/>
      <c r="X24" s="29"/>
      <c r="Y24" s="29"/>
      <c r="Z24" s="29"/>
      <c r="AA24" s="30"/>
      <c r="AB24" s="138" t="s">
        <v>147</v>
      </c>
      <c r="AC24" s="178"/>
      <c r="AD24" s="139"/>
      <c r="AE24" s="138" t="s">
        <v>202</v>
      </c>
      <c r="AF24" s="178"/>
      <c r="AG24" s="139"/>
      <c r="AH24" s="37"/>
    </row>
    <row r="25" spans="2:34" s="35" customFormat="1">
      <c r="B25" s="36" t="s">
        <v>42</v>
      </c>
      <c r="C25" s="40"/>
      <c r="D25" s="40"/>
      <c r="E25" s="25"/>
      <c r="F25" s="25"/>
      <c r="G25" s="44"/>
      <c r="H25" s="44"/>
      <c r="I25" s="44"/>
      <c r="J25" s="25"/>
      <c r="K25" s="25"/>
      <c r="L25" s="40"/>
      <c r="M25" s="40"/>
      <c r="N25" s="40"/>
      <c r="O25" s="40"/>
      <c r="P25" s="25"/>
      <c r="Q25" s="25"/>
      <c r="R25" s="37"/>
      <c r="AH25" s="37"/>
    </row>
    <row r="26" spans="2:34" s="35" customFormat="1">
      <c r="B26" s="36" t="s">
        <v>205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40"/>
      <c r="R26" s="48"/>
      <c r="S26" s="36" t="s">
        <v>86</v>
      </c>
      <c r="T26" s="25"/>
      <c r="U26" s="25"/>
      <c r="V26" s="25"/>
      <c r="W26" s="25"/>
      <c r="X26" s="25"/>
      <c r="Y26" s="25"/>
      <c r="Z26" s="25"/>
      <c r="AA26" s="25"/>
      <c r="AB26" s="25"/>
      <c r="AC26" s="10"/>
      <c r="AD26" s="10"/>
      <c r="AE26" s="10"/>
      <c r="AF26" s="10"/>
      <c r="AG26" s="10"/>
      <c r="AH26" s="37"/>
    </row>
    <row r="27" spans="2:34" s="35" customFormat="1">
      <c r="B27" s="36" t="s">
        <v>43</v>
      </c>
      <c r="C27" s="25"/>
      <c r="D27" s="25"/>
      <c r="E27" s="25"/>
      <c r="F27" s="25"/>
      <c r="G27" s="25"/>
      <c r="H27" s="25"/>
      <c r="I27" s="25"/>
      <c r="J27" s="25"/>
      <c r="K27" s="25"/>
      <c r="L27" s="40"/>
      <c r="M27" s="40"/>
      <c r="N27" s="40"/>
      <c r="O27" s="40"/>
      <c r="P27" s="40"/>
      <c r="Q27" s="40"/>
      <c r="R27" s="48"/>
      <c r="S27" s="36" t="s">
        <v>149</v>
      </c>
      <c r="T27" s="25"/>
      <c r="U27" s="25"/>
      <c r="V27" s="25"/>
      <c r="W27" s="25"/>
      <c r="X27" s="25"/>
      <c r="Y27" s="25"/>
      <c r="Z27" s="25"/>
      <c r="AA27" s="25"/>
      <c r="AB27" s="25"/>
      <c r="AC27" s="10"/>
      <c r="AD27" s="10"/>
      <c r="AE27" s="10"/>
      <c r="AF27" s="10"/>
      <c r="AG27" s="10"/>
      <c r="AH27" s="37"/>
    </row>
    <row r="28" spans="2:34" s="35" customFormat="1">
      <c r="B28" s="49" t="s">
        <v>44</v>
      </c>
      <c r="J28" s="40"/>
      <c r="K28" s="40"/>
      <c r="L28" s="40"/>
      <c r="M28" s="40"/>
      <c r="N28" s="40"/>
      <c r="O28" s="40"/>
      <c r="P28" s="40"/>
      <c r="Q28" s="40"/>
      <c r="R28" s="48"/>
      <c r="S28" s="36" t="s">
        <v>150</v>
      </c>
      <c r="T28" s="25"/>
      <c r="U28" s="25"/>
      <c r="V28" s="25"/>
      <c r="W28" s="2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7"/>
    </row>
    <row r="29" spans="2:34" s="35" customFormat="1">
      <c r="B29" s="49" t="s">
        <v>45</v>
      </c>
      <c r="J29" s="40"/>
      <c r="K29" s="40"/>
      <c r="L29" s="40"/>
      <c r="M29" s="40"/>
      <c r="N29" s="40"/>
      <c r="O29" s="40"/>
      <c r="P29" s="40"/>
      <c r="Q29" s="44"/>
      <c r="R29" s="50"/>
      <c r="AH29" s="39"/>
    </row>
    <row r="30" spans="2:34" s="35" customFormat="1">
      <c r="B30" s="36" t="s">
        <v>143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37"/>
      <c r="AH30" s="39"/>
    </row>
    <row r="31" spans="2:34" s="35" customFormat="1">
      <c r="B31" s="36" t="s">
        <v>46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37"/>
      <c r="AH31" s="39"/>
    </row>
    <row r="32" spans="2:34" s="35" customFormat="1">
      <c r="B32" s="36" t="s">
        <v>47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7"/>
      <c r="S32" s="36"/>
      <c r="T32" s="25"/>
      <c r="U32" s="25"/>
      <c r="V32" s="25"/>
      <c r="W32" s="25"/>
      <c r="X32" s="25"/>
      <c r="Y32" s="25"/>
      <c r="Z32" s="25"/>
      <c r="AA32" s="25"/>
      <c r="AB32" s="25"/>
      <c r="AC32" s="200"/>
      <c r="AD32" s="200"/>
      <c r="AE32" s="200"/>
      <c r="AF32" s="200"/>
      <c r="AG32" s="200"/>
      <c r="AH32" s="37"/>
    </row>
    <row r="33" spans="2:34" s="35" customFormat="1">
      <c r="B33" s="36" t="s">
        <v>48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37"/>
      <c r="S33" s="36"/>
      <c r="T33" s="25"/>
      <c r="U33" s="25"/>
      <c r="V33" s="25"/>
      <c r="W33" s="25"/>
      <c r="X33" s="25"/>
      <c r="Y33" s="25"/>
      <c r="Z33" s="25"/>
      <c r="AA33" s="25"/>
      <c r="AB33" s="25"/>
      <c r="AC33" s="200"/>
      <c r="AD33" s="200"/>
      <c r="AE33" s="200"/>
      <c r="AF33" s="200"/>
      <c r="AG33" s="200"/>
      <c r="AH33" s="37"/>
    </row>
    <row r="34" spans="2:34" s="35" customFormat="1">
      <c r="B34" s="36" t="s">
        <v>82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37"/>
      <c r="S34" s="36"/>
      <c r="T34" s="25"/>
      <c r="U34" s="25"/>
      <c r="V34" s="25"/>
      <c r="W34" s="25"/>
      <c r="X34" s="25"/>
      <c r="Y34" s="25"/>
      <c r="Z34" s="25"/>
      <c r="AA34" s="25"/>
      <c r="AB34" s="25"/>
      <c r="AC34" s="200"/>
      <c r="AD34" s="200"/>
      <c r="AE34" s="200"/>
      <c r="AF34" s="200"/>
      <c r="AG34" s="200"/>
      <c r="AH34" s="37"/>
    </row>
    <row r="35" spans="2:34" s="35" customFormat="1"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3"/>
      <c r="S35" s="41"/>
      <c r="T35" s="42"/>
      <c r="U35" s="42"/>
      <c r="V35" s="42"/>
      <c r="W35" s="42"/>
      <c r="X35" s="42"/>
      <c r="Y35" s="42"/>
      <c r="Z35" s="42"/>
      <c r="AA35" s="42"/>
      <c r="AB35" s="42"/>
      <c r="AC35" s="119"/>
      <c r="AD35" s="119"/>
      <c r="AE35" s="119"/>
      <c r="AF35" s="119"/>
      <c r="AG35" s="119"/>
      <c r="AH35" s="43"/>
    </row>
    <row r="36" spans="2:34" ht="18" customHeight="1">
      <c r="B36" s="27" t="s">
        <v>62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8" t="s">
        <v>210</v>
      </c>
    </row>
  </sheetData>
  <mergeCells count="31">
    <mergeCell ref="AC33:AG33"/>
    <mergeCell ref="AC34:AG34"/>
    <mergeCell ref="AC35:AG35"/>
    <mergeCell ref="Z3:AC3"/>
    <mergeCell ref="AD3:AH3"/>
    <mergeCell ref="AE21:AG22"/>
    <mergeCell ref="AB23:AD23"/>
    <mergeCell ref="AB24:AD24"/>
    <mergeCell ref="AE23:AG23"/>
    <mergeCell ref="T12:AB13"/>
    <mergeCell ref="AC32:AG32"/>
    <mergeCell ref="AE24:AG24"/>
    <mergeCell ref="AC15:AG15"/>
    <mergeCell ref="AC16:AG16"/>
    <mergeCell ref="AC14:AG14"/>
    <mergeCell ref="L2:N2"/>
    <mergeCell ref="S2:U2"/>
    <mergeCell ref="T21:T22"/>
    <mergeCell ref="U21:AA22"/>
    <mergeCell ref="B2:C3"/>
    <mergeCell ref="H3:R3"/>
    <mergeCell ref="S3:U3"/>
    <mergeCell ref="V3:Y3"/>
    <mergeCell ref="D2:K2"/>
    <mergeCell ref="D3:G3"/>
    <mergeCell ref="V2:Y2"/>
    <mergeCell ref="O2:R2"/>
    <mergeCell ref="Z2:AC2"/>
    <mergeCell ref="AB21:AD22"/>
    <mergeCell ref="AD2:AH2"/>
    <mergeCell ref="AC12:AG13"/>
  </mergeCells>
  <phoneticPr fontId="2" type="noConversion"/>
  <printOptions horizontalCentered="1"/>
  <pageMargins left="0.39370078740157483" right="0.39370078740157483" top="0.55118110236220474" bottom="0.39370078740157483" header="0" footer="0"/>
  <pageSetup paperSize="9" scale="94" fitToHeight="10" orientation="landscape" horizontalDpi="360" verticalDpi="360" r:id="rId1"/>
  <headerFooter alignWithMargins="0"/>
  <colBreaks count="1" manualBreakCount="1">
    <brk id="3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40"/>
  <sheetViews>
    <sheetView showGridLines="0" view="pageBreakPreview" topLeftCell="C1" zoomScaleNormal="100" zoomScaleSheetLayoutView="100" workbookViewId="0">
      <selection activeCell="M12" sqref="M12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211</v>
      </c>
      <c r="D7" s="55"/>
      <c r="E7" s="55"/>
      <c r="F7" s="46" t="s">
        <v>71</v>
      </c>
      <c r="G7" s="138" t="s">
        <v>199</v>
      </c>
      <c r="H7" s="178"/>
      <c r="I7" s="139"/>
      <c r="J7" s="138" t="s">
        <v>72</v>
      </c>
      <c r="K7" s="139"/>
      <c r="L7" s="55" t="s">
        <v>211</v>
      </c>
      <c r="M7" s="55"/>
      <c r="N7" s="57"/>
    </row>
    <row r="8" spans="2:14" ht="23.25" customHeight="1">
      <c r="B8" s="46" t="s">
        <v>73</v>
      </c>
      <c r="C8" s="138" t="s">
        <v>151</v>
      </c>
      <c r="D8" s="178"/>
      <c r="E8" s="178"/>
      <c r="F8" s="139"/>
      <c r="G8" s="138" t="s">
        <v>74</v>
      </c>
      <c r="H8" s="139"/>
      <c r="I8" s="138" t="s">
        <v>75</v>
      </c>
      <c r="J8" s="139"/>
      <c r="K8" s="138" t="s">
        <v>160</v>
      </c>
      <c r="L8" s="139"/>
      <c r="M8" s="138" t="s">
        <v>76</v>
      </c>
      <c r="N8" s="139"/>
    </row>
    <row r="9" spans="2:14" s="84" customFormat="1" ht="64.5" customHeight="1">
      <c r="B9" s="91" t="s">
        <v>178</v>
      </c>
      <c r="C9" s="184" t="s">
        <v>179</v>
      </c>
      <c r="D9" s="185"/>
      <c r="E9" s="185"/>
      <c r="F9" s="186"/>
      <c r="G9" s="184" t="s">
        <v>202</v>
      </c>
      <c r="H9" s="186"/>
      <c r="I9" s="184" t="s">
        <v>180</v>
      </c>
      <c r="J9" s="186"/>
      <c r="K9" s="184" t="s">
        <v>177</v>
      </c>
      <c r="L9" s="186"/>
      <c r="M9" s="184" t="s">
        <v>181</v>
      </c>
      <c r="N9" s="186"/>
    </row>
    <row r="10" spans="2:14" ht="18.75" customHeight="1">
      <c r="B10" s="92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92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92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92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92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92"/>
      <c r="F15" s="60"/>
      <c r="H15" s="60"/>
      <c r="J15" s="60"/>
      <c r="L15" s="60"/>
      <c r="N15" s="60"/>
    </row>
    <row r="16" spans="2:14" ht="18.75" customHeight="1">
      <c r="B16" s="92"/>
      <c r="C16" s="56"/>
      <c r="D16" s="55"/>
      <c r="E16" s="55"/>
      <c r="F16" s="57"/>
      <c r="G16" s="29"/>
      <c r="H16" s="57"/>
      <c r="I16" s="55"/>
      <c r="J16" s="57"/>
      <c r="K16" s="55"/>
      <c r="L16" s="57"/>
      <c r="M16" s="55"/>
      <c r="N16" s="57"/>
    </row>
    <row r="17" spans="2:14" ht="18.75" customHeight="1">
      <c r="B17" s="92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92"/>
      <c r="F18" s="60"/>
      <c r="H18" s="60"/>
      <c r="J18" s="60"/>
      <c r="L18" s="60"/>
      <c r="N18" s="60"/>
    </row>
    <row r="19" spans="2:14" ht="18.75" customHeight="1">
      <c r="B19" s="92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92"/>
      <c r="F20" s="60"/>
      <c r="H20" s="60"/>
      <c r="J20" s="60"/>
      <c r="L20" s="60"/>
      <c r="N20" s="60"/>
    </row>
    <row r="21" spans="2:14" ht="18.75" customHeight="1">
      <c r="B21" s="92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92"/>
      <c r="F22" s="60"/>
      <c r="H22" s="60"/>
      <c r="J22" s="60"/>
      <c r="L22" s="60"/>
      <c r="N22" s="60"/>
    </row>
    <row r="23" spans="2:14" ht="18.75" customHeight="1">
      <c r="B23" s="92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92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92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92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92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92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92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92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92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92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92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93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3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3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3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210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K4:K6"/>
    <mergeCell ref="B9:B34"/>
    <mergeCell ref="B35:N39"/>
    <mergeCell ref="B4:J6"/>
    <mergeCell ref="J7:K7"/>
    <mergeCell ref="C8:F8"/>
    <mergeCell ref="G8:H8"/>
    <mergeCell ref="I8:J8"/>
    <mergeCell ref="K8:L8"/>
    <mergeCell ref="M8:N8"/>
    <mergeCell ref="C9:F9"/>
    <mergeCell ref="K9:L9"/>
    <mergeCell ref="G9:H9"/>
    <mergeCell ref="I9:J9"/>
    <mergeCell ref="G7:I7"/>
    <mergeCell ref="M9:N9"/>
  </mergeCells>
  <phoneticPr fontId="2" type="noConversion"/>
  <printOptions horizontalCentered="1" verticalCentered="1"/>
  <pageMargins left="0.15748031496062992" right="0.15748031496062992" top="0.59055118110236227" bottom="0.59055118110236227" header="0.11811023622047245" footer="0.11811023622047245"/>
  <pageSetup paperSize="9" scale="9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40"/>
  <sheetViews>
    <sheetView showGridLines="0" view="pageBreakPreview" zoomScale="85" zoomScaleNormal="100" zoomScaleSheetLayoutView="85" workbookViewId="0">
      <selection activeCell="E16" sqref="E16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211</v>
      </c>
      <c r="D7" s="55"/>
      <c r="E7" s="55"/>
      <c r="F7" s="46" t="s">
        <v>71</v>
      </c>
      <c r="G7" s="138" t="s">
        <v>199</v>
      </c>
      <c r="H7" s="178"/>
      <c r="I7" s="139"/>
      <c r="J7" s="138" t="s">
        <v>72</v>
      </c>
      <c r="K7" s="139"/>
      <c r="L7" s="55" t="s">
        <v>211</v>
      </c>
      <c r="M7" s="55"/>
      <c r="N7" s="57"/>
    </row>
    <row r="8" spans="2:14" ht="23.25" customHeight="1">
      <c r="B8" s="46" t="s">
        <v>73</v>
      </c>
      <c r="C8" s="138" t="s">
        <v>127</v>
      </c>
      <c r="D8" s="178"/>
      <c r="E8" s="178"/>
      <c r="F8" s="139"/>
      <c r="G8" s="138" t="s">
        <v>74</v>
      </c>
      <c r="H8" s="139"/>
      <c r="I8" s="138" t="s">
        <v>75</v>
      </c>
      <c r="J8" s="139"/>
      <c r="K8" s="138" t="s">
        <v>160</v>
      </c>
      <c r="L8" s="139"/>
      <c r="M8" s="138" t="s">
        <v>76</v>
      </c>
      <c r="N8" s="139"/>
    </row>
    <row r="9" spans="2:14" s="84" customFormat="1" ht="48.75" customHeight="1">
      <c r="B9" s="222" t="s">
        <v>184</v>
      </c>
      <c r="C9" s="184" t="s">
        <v>195</v>
      </c>
      <c r="D9" s="185"/>
      <c r="E9" s="185"/>
      <c r="F9" s="186"/>
      <c r="G9" s="184" t="s">
        <v>202</v>
      </c>
      <c r="H9" s="186"/>
      <c r="I9" s="184" t="s">
        <v>180</v>
      </c>
      <c r="J9" s="186"/>
      <c r="K9" s="184" t="s">
        <v>185</v>
      </c>
      <c r="L9" s="186"/>
      <c r="M9" s="220" t="s">
        <v>186</v>
      </c>
      <c r="N9" s="221"/>
    </row>
    <row r="10" spans="2:14" ht="18.75" customHeight="1">
      <c r="B10" s="223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223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223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223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223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223"/>
      <c r="F15" s="60"/>
      <c r="H15" s="60"/>
      <c r="J15" s="60"/>
      <c r="L15" s="60"/>
      <c r="N15" s="60"/>
    </row>
    <row r="16" spans="2:14" ht="18.75" customHeight="1">
      <c r="B16" s="223"/>
      <c r="C16" s="56"/>
      <c r="D16" s="55"/>
      <c r="E16" s="55"/>
      <c r="F16" s="57"/>
      <c r="G16" s="55"/>
      <c r="H16" s="57"/>
      <c r="I16" s="55"/>
      <c r="J16" s="57"/>
      <c r="K16" s="55"/>
      <c r="L16" s="57"/>
      <c r="M16" s="55"/>
      <c r="N16" s="57"/>
    </row>
    <row r="17" spans="2:14" ht="18.75" customHeight="1">
      <c r="B17" s="223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223"/>
      <c r="F18" s="60"/>
      <c r="H18" s="60"/>
      <c r="J18" s="60"/>
      <c r="L18" s="60"/>
      <c r="N18" s="60"/>
    </row>
    <row r="19" spans="2:14" ht="18.75" customHeight="1">
      <c r="B19" s="223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223"/>
      <c r="F20" s="60"/>
      <c r="H20" s="60"/>
      <c r="J20" s="60"/>
      <c r="L20" s="60"/>
      <c r="N20" s="60"/>
    </row>
    <row r="21" spans="2:14" ht="18.75" customHeight="1">
      <c r="B21" s="223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223"/>
      <c r="F22" s="60"/>
      <c r="H22" s="60"/>
      <c r="J22" s="60"/>
      <c r="L22" s="60"/>
      <c r="N22" s="60"/>
    </row>
    <row r="23" spans="2:14" ht="18.75" customHeight="1">
      <c r="B23" s="223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223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223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223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223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223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223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223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223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223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223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224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3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3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3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210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B4:J6"/>
    <mergeCell ref="K4:K6"/>
    <mergeCell ref="J7:K7"/>
    <mergeCell ref="C8:F8"/>
    <mergeCell ref="G8:H8"/>
    <mergeCell ref="I8:J8"/>
    <mergeCell ref="K8:L8"/>
    <mergeCell ref="B35:N39"/>
    <mergeCell ref="M9:N9"/>
    <mergeCell ref="G7:I7"/>
    <mergeCell ref="M8:N8"/>
    <mergeCell ref="B9:B34"/>
    <mergeCell ref="C9:F9"/>
    <mergeCell ref="G9:H9"/>
    <mergeCell ref="I9:J9"/>
    <mergeCell ref="K9:L9"/>
  </mergeCells>
  <phoneticPr fontId="2" type="noConversion"/>
  <printOptions horizontalCentered="1" verticalCentered="1"/>
  <pageMargins left="0.15748031496062992" right="0.15748031496062992" top="0" bottom="0" header="0.11811023622047245" footer="0.11811023622047245"/>
  <pageSetup paperSize="9" scale="9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40"/>
  <sheetViews>
    <sheetView showGridLines="0" view="pageBreakPreview" topLeftCell="A5" zoomScale="85" zoomScaleNormal="100" zoomScaleSheetLayoutView="85" workbookViewId="0">
      <selection activeCell="B35" sqref="B35:N39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211</v>
      </c>
      <c r="D7" s="55"/>
      <c r="E7" s="55"/>
      <c r="F7" s="46" t="s">
        <v>71</v>
      </c>
      <c r="G7" s="138" t="s">
        <v>199</v>
      </c>
      <c r="H7" s="178"/>
      <c r="I7" s="139"/>
      <c r="J7" s="138" t="s">
        <v>72</v>
      </c>
      <c r="K7" s="139"/>
      <c r="L7" s="55" t="s">
        <v>211</v>
      </c>
      <c r="M7" s="55"/>
      <c r="N7" s="57"/>
    </row>
    <row r="8" spans="2:14" ht="23.25" customHeight="1">
      <c r="B8" s="46" t="s">
        <v>73</v>
      </c>
      <c r="C8" s="138" t="s">
        <v>127</v>
      </c>
      <c r="D8" s="178"/>
      <c r="E8" s="178"/>
      <c r="F8" s="139"/>
      <c r="G8" s="138" t="s">
        <v>74</v>
      </c>
      <c r="H8" s="139"/>
      <c r="I8" s="138" t="s">
        <v>75</v>
      </c>
      <c r="J8" s="139"/>
      <c r="K8" s="138" t="s">
        <v>160</v>
      </c>
      <c r="L8" s="139"/>
      <c r="M8" s="138" t="s">
        <v>76</v>
      </c>
      <c r="N8" s="139"/>
    </row>
    <row r="9" spans="2:14" s="84" customFormat="1" ht="48.75" customHeight="1">
      <c r="B9" s="222" t="s">
        <v>188</v>
      </c>
      <c r="C9" s="184" t="s">
        <v>189</v>
      </c>
      <c r="D9" s="185"/>
      <c r="E9" s="185"/>
      <c r="F9" s="186"/>
      <c r="G9" s="184" t="s">
        <v>202</v>
      </c>
      <c r="H9" s="186"/>
      <c r="I9" s="184" t="s">
        <v>180</v>
      </c>
      <c r="J9" s="186"/>
      <c r="K9" s="184" t="s">
        <v>190</v>
      </c>
      <c r="L9" s="186"/>
      <c r="M9" s="220" t="s">
        <v>191</v>
      </c>
      <c r="N9" s="221"/>
    </row>
    <row r="10" spans="2:14" ht="18.75" customHeight="1">
      <c r="B10" s="223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223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223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223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223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223"/>
      <c r="F15" s="60"/>
      <c r="H15" s="60"/>
      <c r="J15" s="60"/>
      <c r="L15" s="60"/>
      <c r="N15" s="60"/>
    </row>
    <row r="16" spans="2:14" ht="18.75" customHeight="1">
      <c r="B16" s="223"/>
      <c r="C16" s="56"/>
      <c r="D16" s="55"/>
      <c r="E16" s="55"/>
      <c r="F16" s="57"/>
      <c r="G16" s="55"/>
      <c r="H16" s="57"/>
      <c r="I16" s="55"/>
      <c r="J16" s="57"/>
      <c r="K16" s="55"/>
      <c r="L16" s="57"/>
      <c r="M16" s="55"/>
      <c r="N16" s="57"/>
    </row>
    <row r="17" spans="2:14" ht="18.75" customHeight="1">
      <c r="B17" s="223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223"/>
      <c r="F18" s="60"/>
      <c r="H18" s="60"/>
      <c r="J18" s="60"/>
      <c r="L18" s="60"/>
      <c r="N18" s="60"/>
    </row>
    <row r="19" spans="2:14" ht="18.75" customHeight="1">
      <c r="B19" s="223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223"/>
      <c r="F20" s="60"/>
      <c r="H20" s="60"/>
      <c r="J20" s="60"/>
      <c r="L20" s="60"/>
      <c r="N20" s="60"/>
    </row>
    <row r="21" spans="2:14" ht="18.75" customHeight="1">
      <c r="B21" s="223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223"/>
      <c r="F22" s="60"/>
      <c r="H22" s="60"/>
      <c r="J22" s="60"/>
      <c r="L22" s="60"/>
      <c r="N22" s="60"/>
    </row>
    <row r="23" spans="2:14" ht="18.75" customHeight="1">
      <c r="B23" s="223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223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223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223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223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223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223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223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223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223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223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224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3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3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3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210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B4:J6"/>
    <mergeCell ref="K4:K6"/>
    <mergeCell ref="G7:I7"/>
    <mergeCell ref="J7:K7"/>
    <mergeCell ref="C8:F8"/>
    <mergeCell ref="G8:H8"/>
    <mergeCell ref="I8:J8"/>
    <mergeCell ref="K8:L8"/>
    <mergeCell ref="B35:N39"/>
    <mergeCell ref="M8:N8"/>
    <mergeCell ref="B9:B34"/>
    <mergeCell ref="C9:F9"/>
    <mergeCell ref="G9:H9"/>
    <mergeCell ref="I9:J9"/>
    <mergeCell ref="K9:L9"/>
    <mergeCell ref="M9:N9"/>
  </mergeCells>
  <phoneticPr fontId="2" type="noConversion"/>
  <printOptions horizontalCentered="1" verticalCentered="1"/>
  <pageMargins left="0.15748031496062992" right="0.15748031496062992" top="0" bottom="0" header="0.11811023622047245" footer="0.11811023622047245"/>
  <pageSetup paperSize="9" scale="9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40"/>
  <sheetViews>
    <sheetView showGridLines="0" view="pageBreakPreview" topLeftCell="C1" zoomScaleNormal="100" zoomScaleSheetLayoutView="100" workbookViewId="0">
      <selection activeCell="H15" sqref="H15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211</v>
      </c>
      <c r="D7" s="55"/>
      <c r="E7" s="55"/>
      <c r="F7" s="46" t="s">
        <v>71</v>
      </c>
      <c r="G7" s="138" t="s">
        <v>199</v>
      </c>
      <c r="H7" s="178"/>
      <c r="I7" s="139"/>
      <c r="J7" s="138" t="s">
        <v>72</v>
      </c>
      <c r="K7" s="139"/>
      <c r="L7" s="55" t="s">
        <v>211</v>
      </c>
      <c r="M7" s="55"/>
      <c r="N7" s="57"/>
    </row>
    <row r="8" spans="2:14" ht="23.25" customHeight="1">
      <c r="B8" s="46" t="s">
        <v>73</v>
      </c>
      <c r="C8" s="138" t="s">
        <v>127</v>
      </c>
      <c r="D8" s="178"/>
      <c r="E8" s="178"/>
      <c r="F8" s="139"/>
      <c r="G8" s="138" t="s">
        <v>74</v>
      </c>
      <c r="H8" s="139"/>
      <c r="I8" s="138" t="s">
        <v>75</v>
      </c>
      <c r="J8" s="139"/>
      <c r="K8" s="138" t="s">
        <v>160</v>
      </c>
      <c r="L8" s="139"/>
      <c r="M8" s="138" t="s">
        <v>76</v>
      </c>
      <c r="N8" s="139"/>
    </row>
    <row r="9" spans="2:14" s="84" customFormat="1" ht="48.75" customHeight="1">
      <c r="B9" s="222" t="s">
        <v>193</v>
      </c>
      <c r="C9" s="184" t="s">
        <v>196</v>
      </c>
      <c r="D9" s="185"/>
      <c r="E9" s="185"/>
      <c r="F9" s="186"/>
      <c r="G9" s="184" t="s">
        <v>202</v>
      </c>
      <c r="H9" s="186"/>
      <c r="I9" s="184" t="s">
        <v>180</v>
      </c>
      <c r="J9" s="186"/>
      <c r="K9" s="184" t="s">
        <v>193</v>
      </c>
      <c r="L9" s="186"/>
      <c r="M9" s="220" t="s">
        <v>194</v>
      </c>
      <c r="N9" s="221"/>
    </row>
    <row r="10" spans="2:14" ht="18.75" customHeight="1">
      <c r="B10" s="223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223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223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223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223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223"/>
      <c r="F15" s="60"/>
      <c r="H15" s="60"/>
      <c r="J15" s="60"/>
      <c r="L15" s="60"/>
      <c r="N15" s="60"/>
    </row>
    <row r="16" spans="2:14" ht="18.75" customHeight="1">
      <c r="B16" s="223"/>
      <c r="C16" s="56"/>
      <c r="D16" s="55"/>
      <c r="E16" s="55"/>
      <c r="F16" s="57"/>
      <c r="G16" s="55"/>
      <c r="H16" s="57"/>
      <c r="I16" s="55"/>
      <c r="J16" s="57"/>
      <c r="K16" s="55"/>
      <c r="L16" s="57"/>
      <c r="M16" s="55"/>
      <c r="N16" s="57"/>
    </row>
    <row r="17" spans="2:14" ht="18.75" customHeight="1">
      <c r="B17" s="223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223"/>
      <c r="F18" s="60"/>
      <c r="H18" s="60"/>
      <c r="J18" s="60"/>
      <c r="L18" s="60"/>
      <c r="N18" s="60"/>
    </row>
    <row r="19" spans="2:14" ht="18.75" customHeight="1">
      <c r="B19" s="223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223"/>
      <c r="F20" s="60"/>
      <c r="H20" s="60"/>
      <c r="J20" s="60"/>
      <c r="L20" s="60"/>
      <c r="N20" s="60"/>
    </row>
    <row r="21" spans="2:14" ht="18.75" customHeight="1">
      <c r="B21" s="223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223"/>
      <c r="F22" s="60"/>
      <c r="H22" s="60"/>
      <c r="J22" s="60"/>
      <c r="L22" s="60"/>
      <c r="N22" s="60"/>
    </row>
    <row r="23" spans="2:14" ht="18.75" customHeight="1">
      <c r="B23" s="223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223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223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223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223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223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223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223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223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223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223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224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3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3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3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210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B4:J6"/>
    <mergeCell ref="K4:K6"/>
    <mergeCell ref="G7:I7"/>
    <mergeCell ref="J7:K7"/>
    <mergeCell ref="C8:F8"/>
    <mergeCell ref="G8:H8"/>
    <mergeCell ref="I8:J8"/>
    <mergeCell ref="K8:L8"/>
    <mergeCell ref="B35:N39"/>
    <mergeCell ref="M8:N8"/>
    <mergeCell ref="B9:B34"/>
    <mergeCell ref="C9:F9"/>
    <mergeCell ref="G9:H9"/>
    <mergeCell ref="I9:J9"/>
    <mergeCell ref="K9:L9"/>
    <mergeCell ref="M9:N9"/>
  </mergeCells>
  <phoneticPr fontId="2" type="noConversion"/>
  <printOptions horizontalCentered="1" verticalCentered="1"/>
  <pageMargins left="0.15748031496062992" right="0.15748031496062992" top="0" bottom="0" header="0.11811023622047245" footer="0.11811023622047245"/>
  <pageSetup paperSize="9" scale="9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40"/>
  <sheetViews>
    <sheetView showGridLines="0" view="pageBreakPreview" zoomScaleNormal="100" zoomScaleSheetLayoutView="100" workbookViewId="0">
      <selection activeCell="K22" sqref="K22"/>
    </sheetView>
  </sheetViews>
  <sheetFormatPr defaultColWidth="8.88671875" defaultRowHeight="15" customHeight="1"/>
  <cols>
    <col min="1" max="1" width="0.5546875" style="45" customWidth="1"/>
    <col min="2" max="2" width="8" style="45" customWidth="1"/>
    <col min="3" max="3" width="8.88671875" style="45"/>
    <col min="4" max="4" width="1.109375" style="45" customWidth="1"/>
    <col min="5" max="5" width="8.33203125" style="45" customWidth="1"/>
    <col min="6" max="7" width="8.88671875" style="45"/>
    <col min="8" max="9" width="2.5546875" style="45" customWidth="1"/>
    <col min="10" max="10" width="8.88671875" style="45"/>
    <col min="11" max="11" width="4.21875" style="45" customWidth="1"/>
    <col min="12" max="14" width="7.5546875" style="45" customWidth="1"/>
    <col min="15" max="16384" width="8.88671875" style="45"/>
  </cols>
  <sheetData>
    <row r="1" spans="2:14" ht="4.5" customHeight="1"/>
    <row r="2" spans="2:14">
      <c r="B2" s="45" t="s">
        <v>68</v>
      </c>
    </row>
    <row r="3" spans="2:14" ht="5.25" customHeight="1"/>
    <row r="4" spans="2:14" ht="15" customHeight="1">
      <c r="B4" s="211" t="s">
        <v>152</v>
      </c>
      <c r="C4" s="212"/>
      <c r="D4" s="212"/>
      <c r="E4" s="212"/>
      <c r="F4" s="212"/>
      <c r="G4" s="212"/>
      <c r="H4" s="212"/>
      <c r="I4" s="212"/>
      <c r="J4" s="213"/>
      <c r="K4" s="201" t="s">
        <v>69</v>
      </c>
      <c r="L4" s="46" t="s">
        <v>94</v>
      </c>
      <c r="M4" s="46" t="s">
        <v>95</v>
      </c>
      <c r="N4" s="46" t="s">
        <v>96</v>
      </c>
    </row>
    <row r="5" spans="2:14" ht="36.75" customHeight="1">
      <c r="B5" s="214"/>
      <c r="C5" s="215"/>
      <c r="D5" s="215"/>
      <c r="E5" s="215"/>
      <c r="F5" s="215"/>
      <c r="G5" s="215"/>
      <c r="H5" s="215"/>
      <c r="I5" s="215"/>
      <c r="J5" s="216"/>
      <c r="K5" s="202"/>
      <c r="L5" s="54"/>
      <c r="M5" s="54"/>
      <c r="N5" s="54"/>
    </row>
    <row r="6" spans="2:14" ht="15" customHeight="1">
      <c r="B6" s="217"/>
      <c r="C6" s="218"/>
      <c r="D6" s="218"/>
      <c r="E6" s="218"/>
      <c r="F6" s="218"/>
      <c r="G6" s="218"/>
      <c r="H6" s="218"/>
      <c r="I6" s="218"/>
      <c r="J6" s="219"/>
      <c r="K6" s="202"/>
      <c r="L6" s="54"/>
      <c r="M6" s="54"/>
      <c r="N6" s="54"/>
    </row>
    <row r="7" spans="2:14" ht="23.25" customHeight="1">
      <c r="B7" s="46" t="s">
        <v>70</v>
      </c>
      <c r="C7" s="55" t="s">
        <v>216</v>
      </c>
      <c r="D7" s="55"/>
      <c r="E7" s="55"/>
      <c r="F7" s="46" t="s">
        <v>71</v>
      </c>
      <c r="G7" s="138" t="s">
        <v>199</v>
      </c>
      <c r="H7" s="178"/>
      <c r="I7" s="139"/>
      <c r="J7" s="138" t="s">
        <v>72</v>
      </c>
      <c r="K7" s="139"/>
      <c r="L7" s="55" t="s">
        <v>218</v>
      </c>
      <c r="M7" s="55"/>
      <c r="N7" s="57"/>
    </row>
    <row r="8" spans="2:14" ht="23.25" customHeight="1">
      <c r="B8" s="46" t="s">
        <v>73</v>
      </c>
      <c r="C8" s="138" t="s">
        <v>127</v>
      </c>
      <c r="D8" s="178"/>
      <c r="E8" s="178"/>
      <c r="F8" s="139"/>
      <c r="G8" s="138" t="s">
        <v>74</v>
      </c>
      <c r="H8" s="139"/>
      <c r="I8" s="138" t="s">
        <v>75</v>
      </c>
      <c r="J8" s="139"/>
      <c r="K8" s="138" t="s">
        <v>160</v>
      </c>
      <c r="L8" s="139"/>
      <c r="M8" s="138" t="s">
        <v>76</v>
      </c>
      <c r="N8" s="139"/>
    </row>
    <row r="9" spans="2:14" s="84" customFormat="1" ht="48.75" customHeight="1">
      <c r="B9" s="222" t="s">
        <v>228</v>
      </c>
      <c r="C9" s="184" t="s">
        <v>215</v>
      </c>
      <c r="D9" s="185"/>
      <c r="E9" s="185"/>
      <c r="F9" s="186"/>
      <c r="G9" s="184" t="s">
        <v>202</v>
      </c>
      <c r="H9" s="186"/>
      <c r="I9" s="184" t="s">
        <v>219</v>
      </c>
      <c r="J9" s="186"/>
      <c r="K9" s="184" t="s">
        <v>220</v>
      </c>
      <c r="L9" s="186"/>
      <c r="M9" s="220" t="s">
        <v>221</v>
      </c>
      <c r="N9" s="221"/>
    </row>
    <row r="10" spans="2:14" ht="18.75" customHeight="1">
      <c r="B10" s="223"/>
      <c r="C10" s="58"/>
      <c r="D10" s="58"/>
      <c r="E10" s="58"/>
      <c r="F10" s="59"/>
      <c r="G10" s="58"/>
      <c r="H10" s="59"/>
      <c r="I10" s="58"/>
      <c r="J10" s="59"/>
      <c r="K10" s="58"/>
      <c r="L10" s="59"/>
      <c r="M10" s="58"/>
      <c r="N10" s="59"/>
    </row>
    <row r="11" spans="2:14" ht="18.75" customHeight="1">
      <c r="B11" s="223"/>
      <c r="C11" s="58"/>
      <c r="D11" s="58"/>
      <c r="E11" s="58"/>
      <c r="F11" s="59"/>
      <c r="G11" s="58"/>
      <c r="H11" s="59"/>
      <c r="I11" s="58"/>
      <c r="J11" s="59"/>
      <c r="K11" s="58"/>
      <c r="L11" s="59"/>
      <c r="M11" s="58"/>
      <c r="N11" s="59"/>
    </row>
    <row r="12" spans="2:14" ht="18.75" customHeight="1">
      <c r="B12" s="223"/>
      <c r="C12" s="58"/>
      <c r="D12" s="58"/>
      <c r="E12" s="58"/>
      <c r="F12" s="59"/>
      <c r="G12" s="58"/>
      <c r="H12" s="59"/>
      <c r="I12" s="58"/>
      <c r="J12" s="59"/>
      <c r="K12" s="58"/>
      <c r="L12" s="59"/>
      <c r="M12" s="58"/>
      <c r="N12" s="59"/>
    </row>
    <row r="13" spans="2:14" ht="18.75" customHeight="1">
      <c r="B13" s="223"/>
      <c r="C13" s="58"/>
      <c r="D13" s="58"/>
      <c r="E13" s="58"/>
      <c r="F13" s="59"/>
      <c r="G13" s="58"/>
      <c r="H13" s="59"/>
      <c r="I13" s="58"/>
      <c r="J13" s="59"/>
      <c r="K13" s="58"/>
      <c r="L13" s="59"/>
      <c r="M13" s="58"/>
      <c r="N13" s="59"/>
    </row>
    <row r="14" spans="2:14" ht="18.75" customHeight="1">
      <c r="B14" s="223"/>
      <c r="C14" s="56"/>
      <c r="D14" s="55"/>
      <c r="E14" s="55"/>
      <c r="F14" s="57"/>
      <c r="G14" s="55"/>
      <c r="H14" s="57"/>
      <c r="I14" s="55"/>
      <c r="J14" s="57"/>
      <c r="K14" s="55"/>
      <c r="L14" s="57"/>
      <c r="M14" s="55"/>
      <c r="N14" s="57"/>
    </row>
    <row r="15" spans="2:14" ht="18.75" customHeight="1">
      <c r="B15" s="223"/>
      <c r="F15" s="60"/>
      <c r="H15" s="60"/>
      <c r="J15" s="60"/>
      <c r="L15" s="60"/>
      <c r="N15" s="60"/>
    </row>
    <row r="16" spans="2:14" ht="18.75" customHeight="1">
      <c r="B16" s="223"/>
      <c r="C16" s="56"/>
      <c r="D16" s="55"/>
      <c r="E16" s="55"/>
      <c r="F16" s="57"/>
      <c r="G16" s="55"/>
      <c r="H16" s="57"/>
      <c r="I16" s="55"/>
      <c r="J16" s="57"/>
      <c r="K16" s="55"/>
      <c r="L16" s="57"/>
      <c r="M16" s="55"/>
      <c r="N16" s="57"/>
    </row>
    <row r="17" spans="2:14" ht="18.75" customHeight="1">
      <c r="B17" s="223"/>
      <c r="C17" s="56"/>
      <c r="D17" s="55"/>
      <c r="E17" s="55"/>
      <c r="F17" s="57"/>
      <c r="G17" s="55"/>
      <c r="H17" s="57"/>
      <c r="I17" s="55"/>
      <c r="J17" s="57"/>
      <c r="K17" s="55"/>
      <c r="L17" s="57"/>
      <c r="M17" s="55"/>
      <c r="N17" s="57"/>
    </row>
    <row r="18" spans="2:14" ht="18.75" customHeight="1">
      <c r="B18" s="223"/>
      <c r="F18" s="60"/>
      <c r="H18" s="60"/>
      <c r="J18" s="60"/>
      <c r="L18" s="60"/>
      <c r="N18" s="60"/>
    </row>
    <row r="19" spans="2:14" ht="18.75" customHeight="1">
      <c r="B19" s="223"/>
      <c r="C19" s="56"/>
      <c r="D19" s="55"/>
      <c r="E19" s="55"/>
      <c r="F19" s="57"/>
      <c r="G19" s="55"/>
      <c r="H19" s="57"/>
      <c r="I19" s="55"/>
      <c r="J19" s="57"/>
      <c r="K19" s="55"/>
      <c r="L19" s="57"/>
      <c r="M19" s="55"/>
      <c r="N19" s="57"/>
    </row>
    <row r="20" spans="2:14" ht="18.75" customHeight="1">
      <c r="B20" s="223"/>
      <c r="F20" s="60"/>
      <c r="H20" s="60"/>
      <c r="J20" s="60"/>
      <c r="L20" s="60"/>
      <c r="N20" s="60"/>
    </row>
    <row r="21" spans="2:14" ht="18.75" customHeight="1">
      <c r="B21" s="223"/>
      <c r="C21" s="56"/>
      <c r="D21" s="55"/>
      <c r="E21" s="55"/>
      <c r="F21" s="57"/>
      <c r="G21" s="55"/>
      <c r="H21" s="57"/>
      <c r="I21" s="55"/>
      <c r="J21" s="57"/>
      <c r="K21" s="55"/>
      <c r="L21" s="57"/>
      <c r="M21" s="55"/>
      <c r="N21" s="57"/>
    </row>
    <row r="22" spans="2:14" ht="18.75" customHeight="1">
      <c r="B22" s="223"/>
      <c r="F22" s="60"/>
      <c r="H22" s="60"/>
      <c r="J22" s="60"/>
      <c r="L22" s="60"/>
      <c r="N22" s="60"/>
    </row>
    <row r="23" spans="2:14" ht="18.75" customHeight="1">
      <c r="B23" s="223"/>
      <c r="C23" s="56"/>
      <c r="D23" s="55"/>
      <c r="E23" s="55"/>
      <c r="F23" s="57"/>
      <c r="G23" s="55"/>
      <c r="H23" s="57"/>
      <c r="I23" s="55"/>
      <c r="J23" s="57"/>
      <c r="K23" s="55"/>
      <c r="L23" s="57"/>
      <c r="M23" s="55"/>
      <c r="N23" s="57"/>
    </row>
    <row r="24" spans="2:14" ht="18.75" customHeight="1">
      <c r="B24" s="223"/>
      <c r="C24" s="56"/>
      <c r="D24" s="55"/>
      <c r="E24" s="55"/>
      <c r="F24" s="57"/>
      <c r="G24" s="55"/>
      <c r="H24" s="57"/>
      <c r="I24" s="55"/>
      <c r="J24" s="57"/>
      <c r="K24" s="55"/>
      <c r="L24" s="57"/>
      <c r="M24" s="55"/>
      <c r="N24" s="57"/>
    </row>
    <row r="25" spans="2:14" ht="18.75" customHeight="1">
      <c r="B25" s="223"/>
      <c r="C25" s="56"/>
      <c r="D25" s="55"/>
      <c r="E25" s="55"/>
      <c r="F25" s="57"/>
      <c r="G25" s="55"/>
      <c r="H25" s="57"/>
      <c r="I25" s="55"/>
      <c r="J25" s="57"/>
      <c r="K25" s="55"/>
      <c r="L25" s="57"/>
      <c r="M25" s="55"/>
      <c r="N25" s="57"/>
    </row>
    <row r="26" spans="2:14" ht="18.75" customHeight="1">
      <c r="B26" s="223"/>
      <c r="C26" s="56"/>
      <c r="D26" s="55"/>
      <c r="E26" s="55"/>
      <c r="F26" s="57"/>
      <c r="G26" s="55"/>
      <c r="H26" s="57"/>
      <c r="I26" s="55"/>
      <c r="J26" s="57"/>
      <c r="K26" s="55"/>
      <c r="L26" s="57"/>
      <c r="M26" s="55"/>
      <c r="N26" s="57"/>
    </row>
    <row r="27" spans="2:14" ht="18.75" customHeight="1">
      <c r="B27" s="223"/>
      <c r="C27" s="56"/>
      <c r="D27" s="55"/>
      <c r="E27" s="55"/>
      <c r="F27" s="57"/>
      <c r="G27" s="55"/>
      <c r="H27" s="57"/>
      <c r="I27" s="55"/>
      <c r="J27" s="57"/>
      <c r="K27" s="55"/>
      <c r="L27" s="57"/>
      <c r="M27" s="55"/>
      <c r="N27" s="57"/>
    </row>
    <row r="28" spans="2:14" ht="18.75" customHeight="1">
      <c r="B28" s="223"/>
      <c r="C28" s="56"/>
      <c r="D28" s="55"/>
      <c r="E28" s="55"/>
      <c r="F28" s="57"/>
      <c r="G28" s="55"/>
      <c r="H28" s="57"/>
      <c r="I28" s="55"/>
      <c r="J28" s="57"/>
      <c r="K28" s="55"/>
      <c r="L28" s="57"/>
      <c r="M28" s="55"/>
      <c r="N28" s="57"/>
    </row>
    <row r="29" spans="2:14" ht="18.75" customHeight="1">
      <c r="B29" s="223"/>
      <c r="C29" s="56"/>
      <c r="D29" s="55"/>
      <c r="E29" s="55"/>
      <c r="F29" s="57"/>
      <c r="G29" s="55"/>
      <c r="H29" s="57"/>
      <c r="I29" s="55"/>
      <c r="J29" s="57"/>
      <c r="K29" s="55"/>
      <c r="L29" s="57"/>
      <c r="M29" s="55"/>
      <c r="N29" s="57"/>
    </row>
    <row r="30" spans="2:14" ht="18.75" customHeight="1">
      <c r="B30" s="223"/>
      <c r="C30" s="56"/>
      <c r="D30" s="55"/>
      <c r="E30" s="55"/>
      <c r="F30" s="57"/>
      <c r="G30" s="55"/>
      <c r="H30" s="57"/>
      <c r="I30" s="55"/>
      <c r="J30" s="57"/>
      <c r="K30" s="55"/>
      <c r="L30" s="57"/>
      <c r="M30" s="55"/>
      <c r="N30" s="57"/>
    </row>
    <row r="31" spans="2:14" ht="18.75" customHeight="1">
      <c r="B31" s="223"/>
      <c r="C31" s="61"/>
      <c r="D31" s="62"/>
      <c r="E31" s="62"/>
      <c r="F31" s="63"/>
      <c r="G31" s="62"/>
      <c r="H31" s="63"/>
      <c r="I31" s="62"/>
      <c r="J31" s="63"/>
      <c r="K31" s="62"/>
      <c r="L31" s="63"/>
      <c r="M31" s="62"/>
      <c r="N31" s="63"/>
    </row>
    <row r="32" spans="2:14" ht="18.75" customHeight="1">
      <c r="B32" s="223"/>
      <c r="C32" s="61"/>
      <c r="D32" s="62"/>
      <c r="E32" s="62"/>
      <c r="F32" s="63"/>
      <c r="G32" s="62"/>
      <c r="H32" s="63"/>
      <c r="I32" s="62"/>
      <c r="J32" s="63"/>
      <c r="K32" s="62"/>
      <c r="L32" s="63"/>
      <c r="M32" s="62"/>
      <c r="N32" s="63"/>
    </row>
    <row r="33" spans="2:28" ht="18.75" customHeight="1">
      <c r="B33" s="223"/>
      <c r="C33" s="61"/>
      <c r="D33" s="62"/>
      <c r="E33" s="62"/>
      <c r="F33" s="63"/>
      <c r="G33" s="62"/>
      <c r="H33" s="63"/>
      <c r="I33" s="62"/>
      <c r="J33" s="63"/>
      <c r="K33" s="62"/>
      <c r="L33" s="63"/>
      <c r="M33" s="62"/>
      <c r="N33" s="63"/>
    </row>
    <row r="34" spans="2:28" ht="18.75" customHeight="1">
      <c r="B34" s="224"/>
      <c r="C34" s="61"/>
      <c r="D34" s="62"/>
      <c r="E34" s="62"/>
      <c r="F34" s="63"/>
      <c r="G34" s="62"/>
      <c r="H34" s="63"/>
      <c r="I34" s="62"/>
      <c r="J34" s="63"/>
      <c r="K34" s="62"/>
      <c r="L34" s="63"/>
      <c r="M34" s="62"/>
      <c r="N34" s="63"/>
    </row>
    <row r="35" spans="2:28" ht="16.5" customHeight="1">
      <c r="B35" s="203" t="s">
        <v>153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</row>
    <row r="36" spans="2:28" ht="16.5" customHeight="1">
      <c r="B36" s="143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7"/>
    </row>
    <row r="37" spans="2:28" ht="16.5" customHeight="1">
      <c r="B37" s="143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7"/>
    </row>
    <row r="38" spans="2:28" ht="16.5" customHeight="1">
      <c r="B38" s="143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7"/>
    </row>
    <row r="39" spans="2:28" ht="16.5" customHeight="1">
      <c r="B39" s="208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10"/>
    </row>
    <row r="40" spans="2:28" ht="16.5">
      <c r="B40" s="27" t="s">
        <v>62</v>
      </c>
      <c r="C40" s="64"/>
      <c r="D40" s="64"/>
      <c r="E40" s="64"/>
      <c r="F40" s="64"/>
      <c r="G40" s="64"/>
      <c r="H40" s="1"/>
      <c r="I40" s="65"/>
      <c r="J40" s="65"/>
      <c r="K40" s="65"/>
      <c r="L40" s="65"/>
      <c r="M40" s="65"/>
      <c r="N40" s="28" t="s">
        <v>210</v>
      </c>
      <c r="O40" s="1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1"/>
      <c r="AA40" s="66"/>
      <c r="AB40" s="66"/>
    </row>
  </sheetData>
  <mergeCells count="16">
    <mergeCell ref="B4:J6"/>
    <mergeCell ref="K4:K6"/>
    <mergeCell ref="G7:I7"/>
    <mergeCell ref="J7:K7"/>
    <mergeCell ref="C8:F8"/>
    <mergeCell ref="G8:H8"/>
    <mergeCell ref="I8:J8"/>
    <mergeCell ref="K8:L8"/>
    <mergeCell ref="B35:N39"/>
    <mergeCell ref="M8:N8"/>
    <mergeCell ref="B9:B34"/>
    <mergeCell ref="C9:F9"/>
    <mergeCell ref="G9:H9"/>
    <mergeCell ref="I9:J9"/>
    <mergeCell ref="K9:L9"/>
    <mergeCell ref="M9:N9"/>
  </mergeCells>
  <phoneticPr fontId="2" type="noConversion"/>
  <printOptions horizontalCentered="1" verticalCentered="1"/>
  <pageMargins left="0.15748031496062992" right="0.15748031496062992" top="0" bottom="0" header="0.11811023622047245" footer="0.11811023622047245"/>
  <pageSetup paperSize="9" scale="95" orientation="portrait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15"/>
  <sheetViews>
    <sheetView showGridLines="0" view="pageBreakPreview" zoomScaleNormal="85" zoomScaleSheetLayoutView="100" workbookViewId="0">
      <selection activeCell="J12" sqref="J12"/>
    </sheetView>
  </sheetViews>
  <sheetFormatPr defaultColWidth="8.88671875" defaultRowHeight="15"/>
  <cols>
    <col min="1" max="1" width="0.77734375" style="45" customWidth="1"/>
    <col min="2" max="2" width="8.88671875" style="45"/>
    <col min="3" max="3" width="5.109375" style="45" customWidth="1"/>
    <col min="4" max="9" width="8.88671875" style="45"/>
    <col min="10" max="10" width="11.5546875" style="45" customWidth="1"/>
    <col min="11" max="11" width="13.88671875" style="45" customWidth="1"/>
    <col min="12" max="12" width="4.21875" style="45" customWidth="1"/>
    <col min="13" max="15" width="7.77734375" style="45" customWidth="1"/>
    <col min="16" max="16384" width="8.88671875" style="45"/>
  </cols>
  <sheetData>
    <row r="1" spans="2:15" ht="4.5" customHeight="1"/>
    <row r="2" spans="2:15">
      <c r="B2" s="45" t="s">
        <v>87</v>
      </c>
    </row>
    <row r="3" spans="2:15" ht="5.25" customHeight="1"/>
    <row r="4" spans="2:15" ht="20.25" customHeight="1">
      <c r="B4" s="211" t="s">
        <v>154</v>
      </c>
      <c r="C4" s="212"/>
      <c r="D4" s="212"/>
      <c r="E4" s="212"/>
      <c r="F4" s="212"/>
      <c r="G4" s="212"/>
      <c r="H4" s="212"/>
      <c r="I4" s="212"/>
      <c r="J4" s="228" t="s">
        <v>88</v>
      </c>
      <c r="K4" s="205"/>
      <c r="L4" s="201" t="s">
        <v>69</v>
      </c>
      <c r="M4" s="46" t="s">
        <v>94</v>
      </c>
      <c r="N4" s="46" t="s">
        <v>95</v>
      </c>
      <c r="O4" s="46" t="s">
        <v>96</v>
      </c>
    </row>
    <row r="5" spans="2:15" ht="42.75" customHeight="1">
      <c r="B5" s="214"/>
      <c r="C5" s="215"/>
      <c r="D5" s="215"/>
      <c r="E5" s="215"/>
      <c r="F5" s="215"/>
      <c r="G5" s="215"/>
      <c r="H5" s="215"/>
      <c r="I5" s="215"/>
      <c r="J5" s="206"/>
      <c r="K5" s="207"/>
      <c r="L5" s="202"/>
      <c r="M5" s="54"/>
      <c r="N5" s="54"/>
      <c r="O5" s="54"/>
    </row>
    <row r="6" spans="2:15" ht="18" customHeight="1">
      <c r="B6" s="217"/>
      <c r="C6" s="218"/>
      <c r="D6" s="218"/>
      <c r="E6" s="218"/>
      <c r="F6" s="218"/>
      <c r="G6" s="218"/>
      <c r="H6" s="218"/>
      <c r="I6" s="218"/>
      <c r="J6" s="209"/>
      <c r="K6" s="210"/>
      <c r="L6" s="202"/>
      <c r="M6" s="54"/>
      <c r="N6" s="54"/>
      <c r="O6" s="54"/>
    </row>
    <row r="7" spans="2:15" ht="22.5" customHeight="1">
      <c r="B7" s="138" t="s">
        <v>155</v>
      </c>
      <c r="C7" s="139"/>
      <c r="D7" s="138" t="s">
        <v>198</v>
      </c>
      <c r="E7" s="178"/>
      <c r="F7" s="178"/>
      <c r="G7" s="178"/>
      <c r="H7" s="178"/>
      <c r="I7" s="139"/>
      <c r="J7" s="138" t="s">
        <v>89</v>
      </c>
      <c r="K7" s="139"/>
      <c r="L7" s="138" t="s">
        <v>226</v>
      </c>
      <c r="M7" s="178"/>
      <c r="N7" s="178"/>
      <c r="O7" s="139"/>
    </row>
    <row r="8" spans="2:15" ht="22.5" customHeight="1">
      <c r="B8" s="138" t="s">
        <v>158</v>
      </c>
      <c r="C8" s="139"/>
      <c r="D8" s="138" t="s">
        <v>156</v>
      </c>
      <c r="E8" s="139"/>
      <c r="F8" s="138" t="s">
        <v>157</v>
      </c>
      <c r="G8" s="178"/>
      <c r="H8" s="178"/>
      <c r="I8" s="178"/>
      <c r="J8" s="139"/>
      <c r="K8" s="46" t="s">
        <v>74</v>
      </c>
      <c r="L8" s="138" t="s">
        <v>159</v>
      </c>
      <c r="M8" s="139"/>
      <c r="N8" s="138" t="s">
        <v>90</v>
      </c>
      <c r="O8" s="139"/>
    </row>
    <row r="9" spans="2:15" ht="88.5" customHeight="1">
      <c r="B9" s="138" t="s">
        <v>176</v>
      </c>
      <c r="C9" s="139"/>
      <c r="D9" s="184" t="s">
        <v>206</v>
      </c>
      <c r="E9" s="186"/>
      <c r="F9" s="56" t="s">
        <v>183</v>
      </c>
      <c r="G9" s="55"/>
      <c r="H9" s="55"/>
      <c r="I9" s="55"/>
      <c r="J9" s="57"/>
      <c r="K9" s="46" t="s">
        <v>202</v>
      </c>
      <c r="L9" s="138" t="s">
        <v>182</v>
      </c>
      <c r="M9" s="139"/>
      <c r="N9" s="56"/>
      <c r="O9" s="57"/>
    </row>
    <row r="10" spans="2:15" ht="86.25" customHeight="1">
      <c r="B10" s="138" t="s">
        <v>185</v>
      </c>
      <c r="C10" s="139"/>
      <c r="D10" s="184" t="s">
        <v>207</v>
      </c>
      <c r="E10" s="186"/>
      <c r="F10" s="56" t="s">
        <v>187</v>
      </c>
      <c r="G10" s="55"/>
      <c r="H10" s="55"/>
      <c r="I10" s="55"/>
      <c r="J10" s="57"/>
      <c r="K10" s="46" t="s">
        <v>202</v>
      </c>
      <c r="L10" s="138" t="s">
        <v>182</v>
      </c>
      <c r="M10" s="139"/>
      <c r="N10" s="56"/>
      <c r="O10" s="57"/>
    </row>
    <row r="11" spans="2:15" ht="70.5" customHeight="1">
      <c r="B11" s="138" t="s">
        <v>190</v>
      </c>
      <c r="C11" s="139"/>
      <c r="D11" s="184" t="s">
        <v>208</v>
      </c>
      <c r="E11" s="186"/>
      <c r="F11" s="56" t="s">
        <v>192</v>
      </c>
      <c r="G11" s="55"/>
      <c r="H11" s="55"/>
      <c r="I11" s="55"/>
      <c r="J11" s="57"/>
      <c r="K11" s="46" t="s">
        <v>202</v>
      </c>
      <c r="L11" s="138" t="s">
        <v>182</v>
      </c>
      <c r="M11" s="139"/>
      <c r="N11" s="56"/>
      <c r="O11" s="57"/>
    </row>
    <row r="12" spans="2:15" ht="84.75" customHeight="1">
      <c r="B12" s="138" t="s">
        <v>193</v>
      </c>
      <c r="C12" s="139"/>
      <c r="D12" s="184" t="s">
        <v>209</v>
      </c>
      <c r="E12" s="186"/>
      <c r="F12" s="56" t="s">
        <v>197</v>
      </c>
      <c r="G12" s="55"/>
      <c r="H12" s="55"/>
      <c r="I12" s="55"/>
      <c r="J12" s="57"/>
      <c r="K12" s="46" t="s">
        <v>202</v>
      </c>
      <c r="L12" s="138" t="s">
        <v>182</v>
      </c>
      <c r="M12" s="139"/>
      <c r="N12" s="56"/>
      <c r="O12" s="57"/>
    </row>
    <row r="13" spans="2:15" ht="69.75" customHeight="1">
      <c r="B13" s="138" t="s">
        <v>223</v>
      </c>
      <c r="C13" s="139"/>
      <c r="D13" s="184" t="s">
        <v>222</v>
      </c>
      <c r="E13" s="186"/>
      <c r="F13" s="225" t="s">
        <v>227</v>
      </c>
      <c r="G13" s="226"/>
      <c r="H13" s="226"/>
      <c r="I13" s="226"/>
      <c r="J13" s="227"/>
      <c r="K13" s="46" t="s">
        <v>224</v>
      </c>
      <c r="L13" s="138" t="s">
        <v>225</v>
      </c>
      <c r="M13" s="139"/>
      <c r="N13" s="56"/>
      <c r="O13" s="57"/>
    </row>
    <row r="14" spans="2:15" ht="20.100000000000001" customHeight="1">
      <c r="B14" s="56"/>
      <c r="C14" s="57"/>
      <c r="D14" s="56"/>
      <c r="E14" s="57"/>
      <c r="F14" s="56"/>
      <c r="G14" s="55"/>
      <c r="H14" s="55"/>
      <c r="I14" s="55"/>
      <c r="J14" s="57"/>
      <c r="K14" s="54"/>
      <c r="L14" s="56"/>
      <c r="M14" s="57"/>
      <c r="N14" s="56"/>
      <c r="O14" s="57"/>
    </row>
    <row r="15" spans="2:15" ht="16.5">
      <c r="B15" s="27" t="s">
        <v>62</v>
      </c>
      <c r="C15" s="64"/>
      <c r="D15" s="64"/>
      <c r="E15" s="64"/>
      <c r="F15" s="64"/>
      <c r="G15" s="64"/>
      <c r="H15" s="1"/>
      <c r="I15" s="65"/>
      <c r="J15" s="65"/>
      <c r="K15" s="65"/>
      <c r="L15" s="65"/>
      <c r="M15" s="65"/>
      <c r="O15" s="28" t="s">
        <v>210</v>
      </c>
    </row>
  </sheetData>
  <mergeCells count="28">
    <mergeCell ref="L7:O7"/>
    <mergeCell ref="L4:L6"/>
    <mergeCell ref="J4:K6"/>
    <mergeCell ref="B4:I6"/>
    <mergeCell ref="B7:C7"/>
    <mergeCell ref="D7:I7"/>
    <mergeCell ref="J7:K7"/>
    <mergeCell ref="B8:C8"/>
    <mergeCell ref="D8:E8"/>
    <mergeCell ref="F8:J8"/>
    <mergeCell ref="L8:M8"/>
    <mergeCell ref="N8:O8"/>
    <mergeCell ref="B9:C9"/>
    <mergeCell ref="D9:E9"/>
    <mergeCell ref="L9:M9"/>
    <mergeCell ref="B10:C10"/>
    <mergeCell ref="D10:E10"/>
    <mergeCell ref="L10:M10"/>
    <mergeCell ref="D13:E13"/>
    <mergeCell ref="B13:C13"/>
    <mergeCell ref="F13:J13"/>
    <mergeCell ref="L13:M13"/>
    <mergeCell ref="D11:E11"/>
    <mergeCell ref="B11:C11"/>
    <mergeCell ref="L11:M11"/>
    <mergeCell ref="D12:E12"/>
    <mergeCell ref="B12:C12"/>
    <mergeCell ref="L12:M12"/>
  </mergeCells>
  <phoneticPr fontId="2" type="noConversion"/>
  <printOptions verticalCentered="1"/>
  <pageMargins left="0.31496062992125984" right="0.15748031496062992" top="0" bottom="0" header="0.11811023622047245" footer="0.11811023622047245"/>
  <pageSetup paperSize="9" scale="95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3</vt:i4>
      </vt:variant>
    </vt:vector>
  </HeadingPairs>
  <TitlesOfParts>
    <vt:vector size="12" baseType="lpstr">
      <vt:lpstr>甲지</vt:lpstr>
      <vt:lpstr>乙지</vt:lpstr>
      <vt:lpstr>丙지</vt:lpstr>
      <vt:lpstr>5.1(폐기물관리법)</vt:lpstr>
      <vt:lpstr>5.1(산업안전보건법)</vt:lpstr>
      <vt:lpstr>5.1(소방법)</vt:lpstr>
      <vt:lpstr>5.1(화학물질관리법)</vt:lpstr>
      <vt:lpstr>5.1(대기환경보전법)</vt:lpstr>
      <vt:lpstr>5.2(등록부)</vt:lpstr>
      <vt:lpstr>甲지!Print_Area</vt:lpstr>
      <vt:lpstr>丙지!Print_Area</vt:lpstr>
      <vt:lpstr>乙지!Print_Area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이영중</dc:creator>
  <cp:lastModifiedBy>기태 김</cp:lastModifiedBy>
  <cp:lastPrinted>2024-11-05T01:20:53Z</cp:lastPrinted>
  <dcterms:created xsi:type="dcterms:W3CDTF">2004-03-15T12:35:45Z</dcterms:created>
  <dcterms:modified xsi:type="dcterms:W3CDTF">2025-08-11T02:08:17Z</dcterms:modified>
</cp:coreProperties>
</file>